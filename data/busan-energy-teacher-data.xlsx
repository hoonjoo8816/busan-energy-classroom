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검증방법안내표" sheetId="2" state="visible" r:id="rId4"/>
    <sheet name="A-1" sheetId="3" state="visible" r:id="rId5"/>
    <sheet name="A-2" sheetId="4" state="visible" r:id="rId6"/>
    <sheet name="A-3" sheetId="5" state="visible" r:id="rId7"/>
    <sheet name="A-4" sheetId="6" state="visible" r:id="rId8"/>
    <sheet name="B-1" sheetId="7" state="visible" r:id="rId9"/>
    <sheet name="B-2" sheetId="8" state="visible" r:id="rId10"/>
    <sheet name="B-3" sheetId="9" state="visible" r:id="rId11"/>
    <sheet name="B-4" sheetId="10" state="visible" r:id="rId12"/>
    <sheet name="C-1" sheetId="11" state="visible" r:id="rId13"/>
    <sheet name="C-2" sheetId="12" state="visible" r:id="rId14"/>
    <sheet name="C-3" sheetId="13" state="visible" r:id="rId15"/>
    <sheet name="C-4" sheetId="14" state="visible" r:id="rId16"/>
    <sheet name="D-1" sheetId="15" state="visible" r:id="rId17"/>
    <sheet name="D-2" sheetId="16" state="visible" r:id="rId18"/>
    <sheet name="D-3" sheetId="17" state="visible" r:id="rId19"/>
    <sheet name="D-4" sheetId="18" state="visible" r:id="rId20"/>
    <sheet name="P-1" sheetId="19" state="visible" r:id="rId21"/>
    <sheet name="출처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<sst xmlns="http://schemas.openxmlformats.org/spreadsheetml/2006/main" count="902" uniqueCount="645">
  <si>
    <r>
      <rPr>
        <b val="true"/>
        <sz val="14"/>
        <color rgb="FF173C2D"/>
        <rFont val="Arial"/>
        <family val="0"/>
        <charset val="1"/>
      </rPr>
      <t xml:space="preserve">2050 </t>
    </r>
    <r>
      <rPr>
        <b val="true"/>
        <sz val="14"/>
        <color rgb="FF173C2D"/>
        <rFont val="Noto Sans CJK SC"/>
        <family val="2"/>
      </rPr>
      <t xml:space="preserve">부산 에너지 정책 연구실 </t>
    </r>
    <r>
      <rPr>
        <b val="true"/>
        <sz val="14"/>
        <color rgb="FF173C2D"/>
        <rFont val="Arial"/>
        <family val="0"/>
        <charset val="1"/>
      </rPr>
      <t xml:space="preserve">· </t>
    </r>
    <r>
      <rPr>
        <b val="true"/>
        <sz val="14"/>
        <color rgb="FF173C2D"/>
        <rFont val="Noto Sans CJK SC"/>
        <family val="2"/>
      </rPr>
      <t xml:space="preserve">교사 제공 자료</t>
    </r>
  </si>
  <si>
    <r>
      <rPr>
        <sz val="11"/>
        <rFont val="Noto Sans CJK SC"/>
        <family val="2"/>
      </rPr>
      <t xml:space="preserve">이 파일은 고등학교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학년 통합과학</t>
    </r>
    <r>
      <rPr>
        <sz val="11"/>
        <rFont val="Arial"/>
        <family val="0"/>
        <charset val="1"/>
      </rPr>
      <t xml:space="preserve">2 CBL </t>
    </r>
    <r>
      <rPr>
        <sz val="11"/>
        <rFont val="Noto Sans CJK SC"/>
        <family val="2"/>
      </rPr>
      <t xml:space="preserve">수업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차시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에서 학생이 정책의 근거를 찾을 때 사용하는 자료 모음입니다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</si>
  <si>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‘검증방법안내표’ 시트에서 모둠이 고른 중점과제를 찾고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오른쪽 ‘근거 자료’ 열에 적힌 번호의 시트를 열어 보세요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</si>
  <si>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글자 색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파란색 숫자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원자료에서 옮긴 값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검은색 숫자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엑셀 수식으로 계산한 값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원자료 값을 바꾸면 계산값도 바뀝니다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</si>
  <si>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모든 자료에는 기준 시점과 출처가 있습니다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서로 다른 연도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단위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지역의 자료를 비교할 때는 그 차이를 먼저 적어 주세요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</si>
  <si>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로 분석할 때는 표를 복사해 제공하되</t>
    </r>
    <r>
      <rPr>
        <sz val="11"/>
        <rFont val="Arial"/>
        <family val="0"/>
        <charset val="1"/>
      </rPr>
      <t xml:space="preserve">, AI</t>
    </r>
    <r>
      <rPr>
        <sz val="11"/>
        <rFont val="Noto Sans CJK SC"/>
        <family val="2"/>
      </rPr>
      <t xml:space="preserve">의 계산과 해석을 원자료와 다시 대조하세요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</si>
  <si>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자료 수집일</t>
    </r>
    <r>
      <rPr>
        <sz val="11"/>
        <rFont val="Arial"/>
        <family val="0"/>
        <charset val="1"/>
      </rPr>
      <t xml:space="preserve">: 2026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27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공공데이터포털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부산시 누리집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언론 보도에서 수집했으며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기사 자료는 보도 시점의 내용입니다</t>
    </r>
    <r>
      <rPr>
        <sz val="11"/>
        <rFont val="Arial"/>
        <family val="0"/>
        <charset val="1"/>
      </rPr>
      <t xml:space="preserve">.</t>
    </r>
  </si>
  <si>
    <t xml:space="preserve">시트 목록</t>
  </si>
  <si>
    <t xml:space="preserve">검증방법안내표</t>
  </si>
  <si>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대 과제별 검증 방법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실행 조건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근거 자료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성과 지표</t>
    </r>
  </si>
  <si>
    <t xml:space="preserve">A-1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</si>
  <si>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신재생에너지 보급 확대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 신재생에너지 원별 생산량 </t>
    </r>
    <r>
      <rPr>
        <sz val="11"/>
        <rFont val="Arial"/>
        <family val="0"/>
        <charset val="1"/>
      </rPr>
      <t xml:space="preserve">(2024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)</t>
    </r>
  </si>
  <si>
    <t xml:space="preserve">A-2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</si>
  <si>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신재생에너지 보급 확대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부산의 신재생 전력 비율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현재와 목표</t>
    </r>
  </si>
  <si>
    <t xml:space="preserve">A-3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</si>
  <si>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신재생에너지 보급 확대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부산역 선상주차장 태양광 발전소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설비용량 </t>
    </r>
    <r>
      <rPr>
        <sz val="11"/>
        <rFont val="Arial"/>
        <family val="0"/>
        <charset val="1"/>
      </rPr>
      <t xml:space="preserve">834kW)</t>
    </r>
  </si>
  <si>
    <t xml:space="preserve">A-4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</si>
  <si>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신재생에너지 보급 확대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해상풍력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연료전지 추진 사례</t>
    </r>
  </si>
  <si>
    <t xml:space="preserve">B-1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</si>
  <si>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효율화 및 수요관리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 월별 전력 판매량 </t>
    </r>
    <r>
      <rPr>
        <sz val="11"/>
        <rFont val="Arial"/>
        <family val="0"/>
        <charset val="1"/>
      </rPr>
      <t xml:space="preserve">(2025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)</t>
    </r>
  </si>
  <si>
    <t xml:space="preserve">B-2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</si>
  <si>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효율화 및 수요관리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부산시청사 월별 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도시가스 사용량</t>
    </r>
  </si>
  <si>
    <t xml:space="preserve">B-3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</si>
  <si>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효율화 및 수요관리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남구 가로등 광원별 수량</t>
    </r>
  </si>
  <si>
    <t xml:space="preserve">B-4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</si>
  <si>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효율화 및 수요관리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부산시 효율화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수요관리 목표와 사업</t>
    </r>
  </si>
  <si>
    <t xml:space="preserve">C-1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</si>
  <si>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신산업 육성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클린에너지 혁신기업 육성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목표와 지원 내용</t>
    </r>
  </si>
  <si>
    <t xml:space="preserve">C-2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</si>
  <si>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신산업 육성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전력반도체 특화단지와 육성 예산</t>
    </r>
  </si>
  <si>
    <t xml:space="preserve">C-3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</si>
  <si>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신산업 육성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수소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차량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충전소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연료전지</t>
    </r>
  </si>
  <si>
    <t xml:space="preserve">C-4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</si>
  <si>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에너지 신산업 육성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분산에너지 특화지역 지정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부산 강서</t>
    </r>
    <r>
      <rPr>
        <sz val="11"/>
        <rFont val="Arial"/>
        <family val="0"/>
        <charset val="1"/>
      </rPr>
      <t xml:space="preserve">)</t>
    </r>
  </si>
  <si>
    <t xml:space="preserve">D-1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</si>
  <si>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시민참여형 네트워크 운영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비전 수립 과정의 시민 의견 수렴</t>
    </r>
  </si>
  <si>
    <t xml:space="preserve">D-2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</si>
  <si>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시민참여형 네트워크 운영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영도구 주민참여형 재생에너지 사업 참여 의향</t>
    </r>
  </si>
  <si>
    <t xml:space="preserve">D-3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</si>
  <si>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시민참여형 네트워크 운영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부산광역시 주민참여형 에너지전환 지원 조례</t>
    </r>
  </si>
  <si>
    <t xml:space="preserve">D-4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</si>
  <si>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시민참여형 네트워크 운영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시민이 참여하는 에너지 사업</t>
    </r>
  </si>
  <si>
    <t xml:space="preserve">P-1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</si>
  <si>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공통 자료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부산시 클린에너지 재정투자계획</t>
    </r>
  </si>
  <si>
    <t xml:space="preserve">출처</t>
  </si>
  <si>
    <t xml:space="preserve">전체 출처 목록과 링크</t>
  </si>
  <si>
    <r>
      <rPr>
        <b val="true"/>
        <sz val="14"/>
        <color rgb="FF173C2D"/>
        <rFont val="Arial"/>
        <family val="0"/>
        <charset val="1"/>
      </rPr>
      <t xml:space="preserve">15</t>
    </r>
    <r>
      <rPr>
        <b val="true"/>
        <sz val="14"/>
        <color rgb="FF173C2D"/>
        <rFont val="Noto Sans CJK SC"/>
        <family val="2"/>
      </rPr>
      <t xml:space="preserve">대 과제별 검증 방법 안내표</t>
    </r>
  </si>
  <si>
    <r>
      <rPr>
        <sz val="11"/>
        <rFont val="Noto Sans CJK SC"/>
        <family val="2"/>
      </rPr>
      <t xml:space="preserve">검증 방식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수치 계산 </t>
    </r>
    <r>
      <rPr>
        <sz val="11"/>
        <rFont val="Arial"/>
        <family val="0"/>
        <charset val="1"/>
      </rPr>
      <t xml:space="preserve">= 5</t>
    </r>
    <r>
      <rPr>
        <sz val="11"/>
        <rFont val="Noto Sans CJK SC"/>
        <family val="2"/>
      </rPr>
      <t xml:space="preserve">차시 시뮬레이터로 예산에 따른 효과 비교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자료 확인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공공데이터로 현황 확인 후 조건 점검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근거 서술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계획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제도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사례를 근거로 글로 판단</t>
    </r>
  </si>
  <si>
    <t xml:space="preserve">번호</t>
  </si>
  <si>
    <t xml:space="preserve">전략</t>
  </si>
  <si>
    <t xml:space="preserve">중점과제</t>
  </si>
  <si>
    <t xml:space="preserve">검증 방식</t>
  </si>
  <si>
    <r>
      <rPr>
        <b val="true"/>
        <sz val="11"/>
        <rFont val="Arial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차시 계산 유형</t>
    </r>
  </si>
  <si>
    <t xml:space="preserve">확인할 실행 조건</t>
  </si>
  <si>
    <r>
      <rPr>
        <b val="true"/>
        <sz val="11"/>
        <rFont val="Noto Sans CJK SC"/>
        <family val="2"/>
      </rPr>
      <t xml:space="preserve">근거 자료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</si>
  <si>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성과 지표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단기</t>
    </r>
  </si>
  <si>
    <r>
      <rPr>
        <b val="true"/>
        <sz val="11"/>
        <rFont val="Noto Sans CJK SC"/>
        <family val="2"/>
      </rPr>
      <t xml:space="preserve">성과 지표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장기</t>
    </r>
  </si>
  <si>
    <t xml:space="preserve">주의할 점</t>
  </si>
  <si>
    <t xml:space="preserve">신재생에너지 보급 확대</t>
  </si>
  <si>
    <t xml:space="preserve">도시형 태양광 보급</t>
  </si>
  <si>
    <t xml:space="preserve">수치 계산</t>
  </si>
  <si>
    <t xml:space="preserve">도시형 태양광 설치</t>
  </si>
  <si>
    <r>
      <rPr>
        <sz val="11"/>
        <rFont val="Noto Sans CJK SC"/>
        <family val="2"/>
      </rPr>
      <t xml:space="preserve">□ 설치할 지붕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주차장 면적이 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그늘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방향 때문에 발전량이 줄지 않는가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설치비와 관리비를 누가 부담하는가</t>
    </r>
    <r>
      <rPr>
        <sz val="11"/>
        <rFont val="Arial"/>
        <family val="0"/>
        <charset val="1"/>
      </rPr>
      <t xml:space="preserve">?</t>
    </r>
  </si>
  <si>
    <t xml:space="preserve">A-1, A-3, D-4</t>
  </si>
  <si>
    <r>
      <rPr>
        <sz val="11"/>
        <rFont val="Noto Sans CJK SC"/>
        <family val="2"/>
      </rPr>
      <t xml:space="preserve">설치 용량</t>
    </r>
    <r>
      <rPr>
        <sz val="11"/>
        <rFont val="Arial"/>
        <family val="0"/>
        <charset val="1"/>
      </rPr>
      <t xml:space="preserve">(kW), </t>
    </r>
    <r>
      <rPr>
        <sz val="11"/>
        <rFont val="Noto Sans CJK SC"/>
        <family val="2"/>
      </rPr>
      <t xml:space="preserve">연간 발전량</t>
    </r>
    <r>
      <rPr>
        <sz val="11"/>
        <rFont val="Arial"/>
        <family val="0"/>
        <charset val="1"/>
      </rPr>
      <t xml:space="preserve">(kWh)</t>
    </r>
  </si>
  <si>
    <t xml:space="preserve">부산 전력 중 신재생 비율</t>
  </si>
  <si>
    <r>
      <rPr>
        <sz val="11"/>
        <rFont val="Noto Sans CJK SC"/>
        <family val="2"/>
      </rPr>
      <t xml:space="preserve">설치 용량</t>
    </r>
    <r>
      <rPr>
        <sz val="11"/>
        <rFont val="Arial"/>
        <family val="0"/>
        <charset val="1"/>
      </rPr>
      <t xml:space="preserve">(kW)</t>
    </r>
    <r>
      <rPr>
        <sz val="11"/>
        <rFont val="Noto Sans CJK SC"/>
        <family val="2"/>
      </rPr>
      <t xml:space="preserve">과 실제 발전량</t>
    </r>
    <r>
      <rPr>
        <sz val="11"/>
        <rFont val="Arial"/>
        <family val="0"/>
        <charset val="1"/>
      </rPr>
      <t xml:space="preserve">(kWh)</t>
    </r>
    <r>
      <rPr>
        <sz val="11"/>
        <rFont val="Noto Sans CJK SC"/>
        <family val="2"/>
      </rPr>
      <t xml:space="preserve">은 다릅니다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같은 설비도 날씨와 계절에 따라 발전량이 달라집니다</t>
    </r>
    <r>
      <rPr>
        <sz val="11"/>
        <rFont val="Arial"/>
        <family val="0"/>
        <charset val="1"/>
      </rPr>
      <t xml:space="preserve">.</t>
    </r>
  </si>
  <si>
    <t xml:space="preserve">해상풍력 조성 및 실증</t>
  </si>
  <si>
    <t xml:space="preserve">자료 확인</t>
  </si>
  <si>
    <r>
      <rPr>
        <sz val="11"/>
        <rFont val="Noto Sans CJK SC"/>
        <family val="2"/>
      </rPr>
      <t xml:space="preserve">기타 과제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수치 평가 제외</t>
    </r>
  </si>
  <si>
    <r>
      <rPr>
        <sz val="11"/>
        <rFont val="Noto Sans CJK SC"/>
        <family val="2"/>
      </rPr>
      <t xml:space="preserve">□ 바람 조건을 조사했는가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어업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해상교통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철새 등 영향을 검토했는가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주민과 충분히 협의했는가</t>
    </r>
    <r>
      <rPr>
        <sz val="11"/>
        <rFont val="Arial"/>
        <family val="0"/>
        <charset val="1"/>
      </rPr>
      <t xml:space="preserve">?</t>
    </r>
  </si>
  <si>
    <t xml:space="preserve">A-1, A-4</t>
  </si>
  <si>
    <r>
      <rPr>
        <sz val="11"/>
        <rFont val="Noto Sans CJK SC"/>
        <family val="2"/>
      </rPr>
      <t xml:space="preserve">인허가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주민 협의가 어느 단계까지 진행되었는가</t>
    </r>
  </si>
  <si>
    <r>
      <rPr>
        <sz val="11"/>
        <rFont val="Noto Sans CJK SC"/>
        <family val="2"/>
      </rPr>
      <t xml:space="preserve">설비 용량</t>
    </r>
    <r>
      <rPr>
        <sz val="11"/>
        <rFont val="Arial"/>
        <family val="0"/>
        <charset val="1"/>
      </rPr>
      <t xml:space="preserve">(MW), </t>
    </r>
    <r>
      <rPr>
        <sz val="11"/>
        <rFont val="Noto Sans CJK SC"/>
        <family val="2"/>
      </rPr>
      <t xml:space="preserve">연간 발전량</t>
    </r>
  </si>
  <si>
    <r>
      <rPr>
        <sz val="11"/>
        <rFont val="Noto Sans CJK SC"/>
        <family val="2"/>
      </rPr>
      <t xml:space="preserve">바다에 접한 도시라는 사실만으로 해상풍력이 바로 가능하다고 판단할 수 없습니다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사업 기간도 수년이 걸립니다</t>
    </r>
    <r>
      <rPr>
        <sz val="11"/>
        <rFont val="Arial"/>
        <family val="0"/>
        <charset val="1"/>
      </rPr>
      <t xml:space="preserve">.</t>
    </r>
  </si>
  <si>
    <t xml:space="preserve">수소연료전지 보급</t>
  </si>
  <si>
    <r>
      <rPr>
        <sz val="11"/>
        <rFont val="Noto Sans CJK SC"/>
        <family val="2"/>
      </rPr>
      <t xml:space="preserve">□ 수소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또는 천연가스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연료를 안정적으로 공급할 수 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수소를 어떤 방식으로 만드는가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주민의 안전 우려에 어떻게 설명할 것인가</t>
    </r>
    <r>
      <rPr>
        <sz val="11"/>
        <rFont val="Arial"/>
        <family val="0"/>
        <charset val="1"/>
      </rPr>
      <t xml:space="preserve">?</t>
    </r>
  </si>
  <si>
    <t xml:space="preserve">A-1, C-3</t>
  </si>
  <si>
    <r>
      <rPr>
        <sz val="11"/>
        <rFont val="Noto Sans CJK SC"/>
        <family val="2"/>
      </rPr>
      <t xml:space="preserve">설비 용량</t>
    </r>
    <r>
      <rPr>
        <sz val="11"/>
        <rFont val="Arial"/>
        <family val="0"/>
        <charset val="1"/>
      </rPr>
      <t xml:space="preserve">(MW), </t>
    </r>
    <r>
      <rPr>
        <sz val="11"/>
        <rFont val="Noto Sans CJK SC"/>
        <family val="2"/>
      </rPr>
      <t xml:space="preserve">연간 발전량</t>
    </r>
    <r>
      <rPr>
        <sz val="11"/>
        <rFont val="Arial"/>
        <family val="0"/>
        <charset val="1"/>
      </rPr>
      <t xml:space="preserve">(MWh)</t>
    </r>
  </si>
  <si>
    <t xml:space="preserve">온실가스가 적은 방식으로 만든 수소의 비율</t>
  </si>
  <si>
    <r>
      <rPr>
        <sz val="11"/>
        <rFont val="Noto Sans CJK SC"/>
        <family val="2"/>
      </rPr>
      <t xml:space="preserve">연료전지를 쓰면 온실가스가 항상 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이 되는 것은 아닙니다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수소를 만드는 과정에서 배출이 생길 수 있습니다</t>
    </r>
    <r>
      <rPr>
        <sz val="11"/>
        <rFont val="Arial"/>
        <family val="0"/>
        <charset val="1"/>
      </rPr>
      <t xml:space="preserve">.</t>
    </r>
  </si>
  <si>
    <t xml:space="preserve">해양에너지 개발</t>
  </si>
  <si>
    <t xml:space="preserve">근거 서술</t>
  </si>
  <si>
    <r>
      <rPr>
        <sz val="11"/>
        <rFont val="Noto Sans CJK SC"/>
        <family val="2"/>
      </rPr>
      <t xml:space="preserve">□ 부산 바다의 조류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파도 자원이 충분한가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기술이 실제로 쓰일 만큼 검증되었는가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해양 생태계에 미치는 영향은 무엇인가</t>
    </r>
    <r>
      <rPr>
        <sz val="11"/>
        <rFont val="Arial"/>
        <family val="0"/>
        <charset val="1"/>
      </rPr>
      <t xml:space="preserve">?</t>
    </r>
  </si>
  <si>
    <t xml:space="preserve">A-1, P-1</t>
  </si>
  <si>
    <r>
      <rPr>
        <sz val="11"/>
        <rFont val="Noto Sans CJK SC"/>
        <family val="2"/>
      </rPr>
      <t xml:space="preserve">실증 설비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시험 운영 결과</t>
    </r>
  </si>
  <si>
    <t xml:space="preserve">상용 발전 설비 용량</t>
  </si>
  <si>
    <r>
      <rPr>
        <sz val="11"/>
        <rFont val="Arial"/>
        <family val="0"/>
        <charset val="1"/>
      </rPr>
      <t xml:space="preserve">A-1 </t>
    </r>
    <r>
      <rPr>
        <sz val="11"/>
        <rFont val="Noto Sans CJK SC"/>
        <family val="2"/>
      </rPr>
      <t xml:space="preserve">생산량 통계에는 해양에너지 항목이 없습니다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아직 생산 단계가 아니라는 뜻이지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불가능하다는 뜻은 아닙니다</t>
    </r>
    <r>
      <rPr>
        <sz val="11"/>
        <rFont val="Arial"/>
        <family val="0"/>
        <charset val="1"/>
      </rPr>
      <t xml:space="preserve">.</t>
    </r>
  </si>
  <si>
    <t xml:space="preserve">에너지 효율화 및 수요관리</t>
  </si>
  <si>
    <t xml:space="preserve">고효율기기 및 스마트에너지 보급</t>
  </si>
  <si>
    <t xml:space="preserve">고효율 조명 교체</t>
  </si>
  <si>
    <r>
      <rPr>
        <sz val="11"/>
        <rFont val="Noto Sans CJK SC"/>
        <family val="2"/>
      </rPr>
      <t xml:space="preserve">□ 교체할 기기가 몇 대이고 현재 효율은 어떤가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기기를 하루에 몇 시간 사용하는가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교체 비용은 얼마이며 누가 부담하는가</t>
    </r>
    <r>
      <rPr>
        <sz val="11"/>
        <rFont val="Arial"/>
        <family val="0"/>
        <charset val="1"/>
      </rPr>
      <t xml:space="preserve">?</t>
    </r>
  </si>
  <si>
    <t xml:space="preserve">B-3, B-2, B-4</t>
  </si>
  <si>
    <r>
      <rPr>
        <sz val="11"/>
        <rFont val="Noto Sans CJK SC"/>
        <family val="2"/>
      </rPr>
      <t xml:space="preserve">교체 대수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연간 절감 전력량</t>
    </r>
    <r>
      <rPr>
        <sz val="11"/>
        <rFont val="Arial"/>
        <family val="0"/>
        <charset val="1"/>
      </rPr>
      <t xml:space="preserve">(kWh)</t>
    </r>
  </si>
  <si>
    <r>
      <rPr>
        <sz val="11"/>
        <rFont val="Noto Sans CJK SC"/>
        <family val="2"/>
      </rPr>
      <t xml:space="preserve">건물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도시 전체의 전력 사용량 변화</t>
    </r>
  </si>
  <si>
    <r>
      <rPr>
        <sz val="11"/>
        <rFont val="Noto Sans CJK SC"/>
        <family val="2"/>
      </rPr>
      <t xml:space="preserve">기기를 바꿔도 사용 시간이 늘면 절감 효과가 줄어듭니다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사용 습관도 함께 확인해야 합니다</t>
    </r>
    <r>
      <rPr>
        <sz val="11"/>
        <rFont val="Arial"/>
        <family val="0"/>
        <charset val="1"/>
      </rPr>
      <t xml:space="preserve">.</t>
    </r>
  </si>
  <si>
    <t xml:space="preserve">산업 및 수송부문 에너지 효율화</t>
  </si>
  <si>
    <r>
      <rPr>
        <sz val="11"/>
        <rFont val="Noto Sans CJK SC"/>
        <family val="2"/>
      </rPr>
      <t xml:space="preserve">□ 어느 부문에서 전기를 많이 쓰는가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설비를 바꾸는 데 시간과 비용이 얼마나 드는가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참여할 기업이나 이용자가 있는가</t>
    </r>
    <r>
      <rPr>
        <sz val="11"/>
        <rFont val="Arial"/>
        <family val="0"/>
        <charset val="1"/>
      </rPr>
      <t xml:space="preserve">?</t>
    </r>
  </si>
  <si>
    <t xml:space="preserve">B-1, B-4, C-3</t>
  </si>
  <si>
    <r>
      <rPr>
        <sz val="11"/>
        <rFont val="Noto Sans CJK SC"/>
        <family val="2"/>
      </rPr>
      <t xml:space="preserve">에너지 진단을 받은 기업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개선 전후 사용량</t>
    </r>
  </si>
  <si>
    <r>
      <rPr>
        <sz val="11"/>
        <rFont val="Noto Sans CJK SC"/>
        <family val="2"/>
      </rPr>
      <t xml:space="preserve">부산 에너지원단위</t>
    </r>
    <r>
      <rPr>
        <sz val="11"/>
        <rFont val="Arial"/>
        <family val="0"/>
        <charset val="1"/>
      </rPr>
      <t xml:space="preserve">(toe/</t>
    </r>
    <r>
      <rPr>
        <sz val="11"/>
        <rFont val="Noto Sans CJK SC"/>
        <family val="2"/>
      </rPr>
      <t xml:space="preserve">백만 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</si>
  <si>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고압 판매량을 모두 산업용으로 해석하면 안 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고압에는 대형 건물 등도 포함됩니다</t>
    </r>
    <r>
      <rPr>
        <sz val="11"/>
        <rFont val="Arial"/>
        <family val="0"/>
        <charset val="1"/>
      </rPr>
      <t xml:space="preserve">.</t>
    </r>
  </si>
  <si>
    <t xml:space="preserve">민관 에너지 절약 생활화</t>
  </si>
  <si>
    <r>
      <rPr>
        <sz val="11"/>
        <rFont val="Noto Sans CJK SC"/>
        <family val="2"/>
      </rPr>
      <t xml:space="preserve">□ 몇 명이 참여하는가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실천이 한 번으로 끝나지 않고 계속되는가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절약 효과를 어떻게 측정할 것인가</t>
    </r>
    <r>
      <rPr>
        <sz val="11"/>
        <rFont val="Arial"/>
        <family val="0"/>
        <charset val="1"/>
      </rPr>
      <t xml:space="preserve">?</t>
    </r>
  </si>
  <si>
    <t xml:space="preserve">B-2, B-4, D-4</t>
  </si>
  <si>
    <r>
      <rPr>
        <sz val="11"/>
        <rFont val="Noto Sans CJK SC"/>
        <family val="2"/>
      </rPr>
      <t xml:space="preserve">참여자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같은 달 기준 사용량 비교</t>
    </r>
  </si>
  <si>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상업 부문 에너지 소비 변화</t>
    </r>
  </si>
  <si>
    <r>
      <rPr>
        <sz val="11"/>
        <rFont val="Noto Sans CJK SC"/>
        <family val="2"/>
      </rPr>
      <t xml:space="preserve">한 달 사용량이 줄었다고 절약에 성공했다고 단정할 수 없습니다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계절과 날씨의 영향을 함께 확인해야 합니다</t>
    </r>
    <r>
      <rPr>
        <sz val="11"/>
        <rFont val="Arial"/>
        <family val="0"/>
        <charset val="1"/>
      </rPr>
      <t xml:space="preserve">.</t>
    </r>
  </si>
  <si>
    <t xml:space="preserve">에너지 신산업 육성</t>
  </si>
  <si>
    <t xml:space="preserve">클린에너지 기술혁신기업 육성</t>
  </si>
  <si>
    <r>
      <rPr>
        <sz val="11"/>
        <rFont val="Noto Sans CJK SC"/>
        <family val="2"/>
      </rPr>
      <t xml:space="preserve">□ 어떤 기준으로 지원 기업을 고르는가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지원 규모가 기술 개발에 충분한가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성과를 몇 년 뒤에 확인할 것인가</t>
    </r>
    <r>
      <rPr>
        <sz val="11"/>
        <rFont val="Arial"/>
        <family val="0"/>
        <charset val="1"/>
      </rPr>
      <t xml:space="preserve">?</t>
    </r>
  </si>
  <si>
    <t xml:space="preserve">C-1, P-1</t>
  </si>
  <si>
    <r>
      <rPr>
        <sz val="11"/>
        <rFont val="Noto Sans CJK SC"/>
        <family val="2"/>
      </rPr>
      <t xml:space="preserve">인증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시제품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특허 수</t>
    </r>
  </si>
  <si>
    <r>
      <rPr>
        <sz val="11"/>
        <rFont val="Noto Sans CJK SC"/>
        <family val="2"/>
      </rPr>
      <t xml:space="preserve">지원 기업의 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일자리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기술이 실제로 쓰인 사례</t>
    </r>
  </si>
  <si>
    <r>
      <rPr>
        <sz val="11"/>
        <rFont val="Noto Sans CJK SC"/>
        <family val="2"/>
      </rPr>
      <t xml:space="preserve">예산을 편성했다는 사실은 성과가 아닙니다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지원 후 무엇이 달라졌는지 자료가 필요합니다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</si>
  <si>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건물 일체형 태양광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부유식 등 신기술 연구개발 및 실증</t>
    </r>
  </si>
  <si>
    <r>
      <rPr>
        <sz val="11"/>
        <rFont val="Noto Sans CJK SC"/>
        <family val="2"/>
      </rPr>
      <t xml:space="preserve">□ 실증 기간과 장소는 어디인가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일반 태양광과 비교한 성능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비용은 어떤가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안전성과 내구성은 검증되었는가</t>
    </r>
    <r>
      <rPr>
        <sz val="11"/>
        <rFont val="Arial"/>
        <family val="0"/>
        <charset val="1"/>
      </rPr>
      <t xml:space="preserve">?</t>
    </r>
  </si>
  <si>
    <t xml:space="preserve">A-3, C-1</t>
  </si>
  <si>
    <t xml:space="preserve">실증 설비의 발전 성능</t>
  </si>
  <si>
    <t xml:space="preserve">비용이 낮아져 보급이 늘었는가</t>
  </si>
  <si>
    <r>
      <rPr>
        <sz val="11"/>
        <rFont val="Noto Sans CJK SC"/>
        <family val="2"/>
      </rPr>
      <t xml:space="preserve">실증에 성공해도 바로 대규모 보급이 가능한 것은 아닙니다</t>
    </r>
    <r>
      <rPr>
        <sz val="11"/>
        <rFont val="Arial"/>
        <family val="0"/>
        <charset val="1"/>
      </rPr>
      <t xml:space="preserve">. A-3</t>
    </r>
    <r>
      <rPr>
        <sz val="11"/>
        <rFont val="Noto Sans CJK SC"/>
        <family val="2"/>
      </rPr>
      <t xml:space="preserve">의 일반 태양광 발전 자료를 비교 기준으로 쓸 수 있습니다</t>
    </r>
    <r>
      <rPr>
        <sz val="11"/>
        <rFont val="Arial"/>
        <family val="0"/>
        <charset val="1"/>
      </rPr>
      <t xml:space="preserve">.</t>
    </r>
  </si>
  <si>
    <t xml:space="preserve">파워반도체 등 신산업 클러스터 조성</t>
  </si>
  <si>
    <r>
      <rPr>
        <sz val="11"/>
        <rFont val="Noto Sans CJK SC"/>
        <family val="2"/>
      </rPr>
      <t xml:space="preserve">□ 관련 기업이 실제로 들어오는가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전문 인력을 키우고 지역에 머물게 할 수 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장기 투자가 계속될 수 있는가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</si>
  <si>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입주 기업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교육 수료자 수</t>
    </r>
  </si>
  <si>
    <r>
      <rPr>
        <sz val="11"/>
        <rFont val="Noto Sans CJK SC"/>
        <family val="2"/>
      </rPr>
      <t xml:space="preserve">국산화율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관련 일자리</t>
    </r>
  </si>
  <si>
    <r>
      <rPr>
        <sz val="11"/>
        <rFont val="Noto Sans CJK SC"/>
        <family val="2"/>
      </rPr>
      <t xml:space="preserve">이 과제의 성과는 에너지 절감량으로 바로 측정하기 어렵습니다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산업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인력 지표로 평가해야 합니다</t>
    </r>
    <r>
      <rPr>
        <sz val="11"/>
        <rFont val="Arial"/>
        <family val="0"/>
        <charset val="1"/>
      </rPr>
      <t xml:space="preserve">.</t>
    </r>
  </si>
  <si>
    <t xml:space="preserve">해양수소에너지 생산거점 조성</t>
  </si>
  <si>
    <r>
      <rPr>
        <sz val="11"/>
        <rFont val="Noto Sans CJK SC"/>
        <family val="2"/>
      </rPr>
      <t xml:space="preserve">□ 수소를 어떤 에너지로 만드는가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저장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운송 시설이 갖춰지는가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수소를 쓸 곳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차량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발전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충분한가</t>
    </r>
    <r>
      <rPr>
        <sz val="11"/>
        <rFont val="Arial"/>
        <family val="0"/>
        <charset val="1"/>
      </rPr>
      <t xml:space="preserve">?</t>
    </r>
  </si>
  <si>
    <t xml:space="preserve">C-3, A-1</t>
  </si>
  <si>
    <r>
      <rPr>
        <sz val="11"/>
        <rFont val="Noto Sans CJK SC"/>
        <family val="2"/>
      </rPr>
      <t xml:space="preserve">수소 생산량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충전소 충전량</t>
    </r>
  </si>
  <si>
    <t xml:space="preserve">온실가스가 적은 수소의 공급 비율</t>
  </si>
  <si>
    <r>
      <rPr>
        <sz val="11"/>
        <rFont val="Noto Sans CJK SC"/>
        <family val="2"/>
      </rPr>
      <t xml:space="preserve">수소라는 이름만으로 친환경이라고 판단할 수 없습니다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생산 방식과 사용처를 함께 확인합니다</t>
    </r>
    <r>
      <rPr>
        <sz val="11"/>
        <rFont val="Arial"/>
        <family val="0"/>
        <charset val="1"/>
      </rPr>
      <t xml:space="preserve">.</t>
    </r>
  </si>
  <si>
    <t xml:space="preserve">부산통합에너지센터 설립</t>
  </si>
  <si>
    <r>
      <rPr>
        <sz val="11"/>
        <rFont val="Noto Sans CJK SC"/>
        <family val="2"/>
      </rPr>
      <t xml:space="preserve">□ 현재 센터나 비슷한 기관이 운영되고 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기존 기관과 역할이 겹치지 않는가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시민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기업이 실제로 이용하는가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</si>
  <si>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상담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지원 건수</t>
    </r>
  </si>
  <si>
    <t xml:space="preserve">정책 지원을 받은 사업의 성과</t>
  </si>
  <si>
    <r>
      <rPr>
        <sz val="11"/>
        <rFont val="Noto Sans CJK SC"/>
        <family val="2"/>
      </rPr>
      <t xml:space="preserve">계획에 적힌 설립 연도는 실제 설립 여부를 뜻하지 않습니다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현재 상황을 먼저 확인합니다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교사 확인 필요</t>
    </r>
    <r>
      <rPr>
        <sz val="11"/>
        <rFont val="Arial"/>
        <family val="0"/>
        <charset val="1"/>
      </rPr>
      <t xml:space="preserve">).</t>
    </r>
  </si>
  <si>
    <t xml:space="preserve">시민참여형 네트워크 운영</t>
  </si>
  <si>
    <t xml:space="preserve">민관 거버넌스 운영</t>
  </si>
  <si>
    <r>
      <rPr>
        <sz val="11"/>
        <rFont val="Noto Sans CJK SC"/>
        <family val="2"/>
      </rPr>
      <t xml:space="preserve">□ 시민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전문가 등 다양한 사람이 참여하는가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의견이 정책에 반영되는 경로가 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회의 결과가 공개되는가</t>
    </r>
    <r>
      <rPr>
        <sz val="11"/>
        <rFont val="Arial"/>
        <family val="0"/>
        <charset val="1"/>
      </rPr>
      <t xml:space="preserve">?</t>
    </r>
  </si>
  <si>
    <t xml:space="preserve">D-1, D-2</t>
  </si>
  <si>
    <r>
      <rPr>
        <sz val="11"/>
        <rFont val="Noto Sans CJK SC"/>
        <family val="2"/>
      </rPr>
      <t xml:space="preserve">회의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참여 인원</t>
    </r>
  </si>
  <si>
    <t xml:space="preserve">정책에 반영된 의견 수와 내용</t>
  </si>
  <si>
    <r>
      <rPr>
        <sz val="11"/>
        <rFont val="Noto Sans CJK SC"/>
        <family val="2"/>
      </rPr>
      <t xml:space="preserve">참여 인원이 많다고 의견이 반영되었다고 볼 수 없습니다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반영 결과를 함께 확인합니다</t>
    </r>
    <r>
      <rPr>
        <sz val="11"/>
        <rFont val="Arial"/>
        <family val="0"/>
        <charset val="1"/>
      </rPr>
      <t xml:space="preserve">.</t>
    </r>
  </si>
  <si>
    <t xml:space="preserve">부산 에너지시민헌장 제정</t>
  </si>
  <si>
    <r>
      <rPr>
        <sz val="11"/>
        <rFont val="Noto Sans CJK SC"/>
        <family val="2"/>
      </rPr>
      <t xml:space="preserve">□ 헌장이 현재 제정되어 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헌장이 실천 프로그램과 연결되는가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시민이 헌장을 알고 있는가</t>
    </r>
    <r>
      <rPr>
        <sz val="11"/>
        <rFont val="Arial"/>
        <family val="0"/>
        <charset val="1"/>
      </rPr>
      <t xml:space="preserve">?</t>
    </r>
  </si>
  <si>
    <t xml:space="preserve">D-1, D-4</t>
  </si>
  <si>
    <r>
      <rPr>
        <sz val="11"/>
        <rFont val="Noto Sans CJK SC"/>
        <family val="2"/>
      </rPr>
      <t xml:space="preserve">헌장 인지도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연계 프로그램 참여자 수</t>
    </r>
  </si>
  <si>
    <t xml:space="preserve">시민 실천의 지속 여부</t>
  </si>
  <si>
    <r>
      <rPr>
        <sz val="11"/>
        <rFont val="Arial"/>
        <family val="0"/>
        <charset val="1"/>
      </rPr>
      <t xml:space="preserve">2019</t>
    </r>
    <r>
      <rPr>
        <sz val="11"/>
        <rFont val="Noto Sans CJK SC"/>
        <family val="2"/>
      </rPr>
      <t xml:space="preserve">년 계획의 과제입니다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현재 제정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이행 상황은 자료실에서 확인하지 못했으므로 조사가 필요합니다</t>
    </r>
    <r>
      <rPr>
        <sz val="11"/>
        <rFont val="Arial"/>
        <family val="0"/>
        <charset val="1"/>
      </rPr>
      <t xml:space="preserve">.</t>
    </r>
  </si>
  <si>
    <t xml:space="preserve">시민참여형 발전사업 활성화</t>
  </si>
  <si>
    <r>
      <rPr>
        <sz val="11"/>
        <rFont val="Noto Sans CJK SC"/>
        <family val="2"/>
      </rPr>
      <t xml:space="preserve">□ 참여 조건과 위험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수익을 쉽게 설명했는가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수익을 어떻게 나누는가</t>
    </r>
    <r>
      <rPr>
        <sz val="11"/>
        <rFont val="Arial"/>
        <family val="0"/>
        <charset val="1"/>
      </rPr>
      <t xml:space="preserve">?
□ </t>
    </r>
    <r>
      <rPr>
        <sz val="11"/>
        <rFont val="Noto Sans CJK SC"/>
        <family val="2"/>
      </rPr>
      <t xml:space="preserve">발전소를 지을 부지가 있는가</t>
    </r>
    <r>
      <rPr>
        <sz val="11"/>
        <rFont val="Arial"/>
        <family val="0"/>
        <charset val="1"/>
      </rPr>
      <t xml:space="preserve">?</t>
    </r>
  </si>
  <si>
    <t xml:space="preserve">D-2, D-3, D-4</t>
  </si>
  <si>
    <r>
      <rPr>
        <sz val="11"/>
        <rFont val="Noto Sans CJK SC"/>
        <family val="2"/>
      </rPr>
      <t xml:space="preserve">참여 가구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설치 용량</t>
    </r>
    <r>
      <rPr>
        <sz val="11"/>
        <rFont val="Arial"/>
        <family val="0"/>
        <charset val="1"/>
      </rPr>
      <t xml:space="preserve">(kW)</t>
    </r>
  </si>
  <si>
    <t xml:space="preserve">수익을 나눈 주민 수와 금액</t>
  </si>
  <si>
    <r>
      <rPr>
        <sz val="11"/>
        <rFont val="Noto Sans CJK SC"/>
        <family val="2"/>
      </rPr>
      <t xml:space="preserve">참여 의향이 있다는 응답은 실제 참여나 투자와 다릅니다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</si>
  <si>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A-1  </t>
    </r>
    <r>
      <rPr>
        <b val="true"/>
        <sz val="14"/>
        <color rgb="FF173C2D"/>
        <rFont val="Noto Sans CJK SC"/>
        <family val="2"/>
      </rPr>
      <t xml:space="preserve">부산 신재생에너지 원별 생산량 </t>
    </r>
    <r>
      <rPr>
        <b val="true"/>
        <sz val="14"/>
        <color rgb="FF173C2D"/>
        <rFont val="Arial"/>
        <family val="0"/>
        <charset val="1"/>
      </rPr>
      <t xml:space="preserve">(2024</t>
    </r>
    <r>
      <rPr>
        <b val="true"/>
        <sz val="14"/>
        <color rgb="FF173C2D"/>
        <rFont val="Noto Sans CJK SC"/>
        <family val="2"/>
      </rPr>
      <t xml:space="preserve">년</t>
    </r>
    <r>
      <rPr>
        <b val="true"/>
        <sz val="14"/>
        <color rgb="FF173C2D"/>
        <rFont val="Arial"/>
        <family val="0"/>
        <charset val="1"/>
      </rPr>
      <t xml:space="preserve">)</t>
    </r>
  </si>
  <si>
    <t xml:space="preserve">기준 시점</t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</si>
  <si>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31</t>
    </r>
    <r>
      <rPr>
        <sz val="11"/>
        <rFont val="Noto Sans CJK SC"/>
        <family val="2"/>
      </rPr>
      <t xml:space="preserve">일 기준</t>
    </r>
  </si>
  <si>
    <t xml:space="preserve">단위</t>
  </si>
  <si>
    <r>
      <rPr>
        <sz val="11"/>
        <rFont val="Noto Sans CJK SC"/>
        <family val="2"/>
      </rPr>
      <t xml:space="preserve">에너지원마다 다름 </t>
    </r>
    <r>
      <rPr>
        <sz val="11"/>
        <rFont val="Arial"/>
        <family val="0"/>
        <charset val="1"/>
      </rPr>
      <t xml:space="preserve">(MWh, toe, </t>
    </r>
    <r>
      <rPr>
        <sz val="11"/>
        <rFont val="Noto Sans CJK SC"/>
        <family val="2"/>
      </rPr>
      <t xml:space="preserve">천증기톤</t>
    </r>
    <r>
      <rPr>
        <sz val="11"/>
        <rFont val="Arial"/>
        <family val="0"/>
        <charset val="1"/>
      </rPr>
      <t xml:space="preserve">, Tcal)</t>
    </r>
  </si>
  <si>
    <t xml:space="preserve">자료 설명</t>
  </si>
  <si>
    <r>
      <rPr>
        <sz val="11"/>
        <rFont val="Noto Sans CJK SC"/>
        <family val="2"/>
      </rPr>
      <t xml:space="preserve">부산시가 공개한 </t>
    </r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신재생에너지 생산량입니다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전기를 만드는 에너지원만 </t>
    </r>
    <r>
      <rPr>
        <sz val="11"/>
        <rFont val="Arial"/>
        <family val="0"/>
        <charset val="1"/>
      </rPr>
      <t xml:space="preserve">MWh </t>
    </r>
    <r>
      <rPr>
        <sz val="11"/>
        <rFont val="Noto Sans CJK SC"/>
        <family val="2"/>
      </rPr>
      <t xml:space="preserve">단위로 모아 그래프로 나타냈습니다</t>
    </r>
    <r>
      <rPr>
        <sz val="11"/>
        <rFont val="Arial"/>
        <family val="0"/>
        <charset val="1"/>
      </rPr>
      <t xml:space="preserve">.</t>
    </r>
  </si>
  <si>
    <t xml:space="preserve">부산광역시_신재생에너지 보급현황(2024.12.31 기준, 2026.2.11 갱신)</t>
  </si>
  <si>
    <t xml:space="preserve">에너지원</t>
  </si>
  <si>
    <t xml:space="preserve">생산량</t>
  </si>
  <si>
    <t xml:space="preserve">태양열</t>
  </si>
  <si>
    <t xml:space="preserve">toe</t>
  </si>
  <si>
    <t xml:space="preserve">태양광</t>
  </si>
  <si>
    <t xml:space="preserve">MWh</t>
  </si>
  <si>
    <r>
      <rPr>
        <sz val="11"/>
        <rFont val="Noto Sans CJK SC"/>
        <family val="2"/>
      </rPr>
      <t xml:space="preserve">태양광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사업용</t>
    </r>
  </si>
  <si>
    <r>
      <rPr>
        <sz val="11"/>
        <rFont val="Noto Sans CJK SC"/>
        <family val="2"/>
      </rPr>
      <t xml:space="preserve">태양광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자가용</t>
    </r>
  </si>
  <si>
    <t xml:space="preserve">풍력</t>
  </si>
  <si>
    <r>
      <rPr>
        <sz val="11"/>
        <rFont val="Noto Sans CJK SC"/>
        <family val="2"/>
      </rPr>
      <t xml:space="preserve">풍력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사업용</t>
    </r>
  </si>
  <si>
    <r>
      <rPr>
        <sz val="11"/>
        <rFont val="Noto Sans CJK SC"/>
        <family val="2"/>
      </rPr>
      <t xml:space="preserve">풍력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자가용</t>
    </r>
  </si>
  <si>
    <t xml:space="preserve">수력</t>
  </si>
  <si>
    <r>
      <rPr>
        <sz val="11"/>
        <rFont val="Noto Sans CJK SC"/>
        <family val="2"/>
      </rPr>
      <t xml:space="preserve">수력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사업용</t>
    </r>
  </si>
  <si>
    <r>
      <rPr>
        <sz val="11"/>
        <rFont val="Noto Sans CJK SC"/>
        <family val="2"/>
      </rPr>
      <t xml:space="preserve">수력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자가용</t>
    </r>
  </si>
  <si>
    <t xml:space="preserve">지열</t>
  </si>
  <si>
    <t xml:space="preserve">수열</t>
  </si>
  <si>
    <t xml:space="preserve">바이오가스</t>
  </si>
  <si>
    <t xml:space="preserve">천증기톤</t>
  </si>
  <si>
    <t xml:space="preserve">매립지가스</t>
  </si>
  <si>
    <t xml:space="preserve">바이오디젤</t>
  </si>
  <si>
    <t xml:space="preserve">Tcal</t>
  </si>
  <si>
    <t xml:space="preserve">우드칩</t>
  </si>
  <si>
    <t xml:space="preserve">성형탄</t>
  </si>
  <si>
    <t xml:space="preserve">임산연료</t>
  </si>
  <si>
    <t xml:space="preserve">목재펠릿</t>
  </si>
  <si>
    <t xml:space="preserve">산업폐기물</t>
  </si>
  <si>
    <t xml:space="preserve">생활폐기물</t>
  </si>
  <si>
    <t xml:space="preserve">SRF</t>
  </si>
  <si>
    <t xml:space="preserve">연료전지</t>
  </si>
  <si>
    <r>
      <rPr>
        <sz val="11"/>
        <rFont val="Noto Sans CJK SC"/>
        <family val="2"/>
      </rPr>
      <t xml:space="preserve">연료전지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사업용</t>
    </r>
  </si>
  <si>
    <r>
      <rPr>
        <sz val="11"/>
        <rFont val="Noto Sans CJK SC"/>
        <family val="2"/>
      </rPr>
      <t xml:space="preserve">연료전지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자가용</t>
    </r>
  </si>
  <si>
    <r>
      <rPr>
        <b val="true"/>
        <sz val="11"/>
        <rFont val="Noto Sans CJK SC"/>
        <family val="2"/>
      </rPr>
      <t xml:space="preserve">전기 생산 에너지원 </t>
    </r>
    <r>
      <rPr>
        <b val="true"/>
        <sz val="11"/>
        <rFont val="Arial"/>
        <family val="0"/>
        <charset val="1"/>
      </rPr>
      <t xml:space="preserve">(MWh)</t>
    </r>
  </si>
  <si>
    <r>
      <rPr>
        <b val="true"/>
        <sz val="11"/>
        <rFont val="Noto Sans CJK SC"/>
        <family val="2"/>
      </rPr>
      <t xml:space="preserve">생산량</t>
    </r>
    <r>
      <rPr>
        <b val="true"/>
        <sz val="11"/>
        <rFont val="Arial"/>
        <family val="0"/>
        <charset val="1"/>
      </rPr>
      <t xml:space="preserve">(MWh)</t>
    </r>
  </si>
  <si>
    <t xml:space="preserve">비율</t>
  </si>
  <si>
    <t xml:space="preserve">합계</t>
  </si>
  <si>
    <t xml:space="preserve">자료로 알 수 있는 것</t>
  </si>
  <si>
    <r>
      <rPr>
        <sz val="11"/>
        <rFont val="Noto Sans CJK SC"/>
        <family val="2"/>
      </rPr>
      <t xml:space="preserve">• 태양광과 연료전지가 부산의 신재생 전기 생산 대부분을 차지한다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</si>
  <si>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풍력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수력으로 생산한 전기는 매우 적다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</si>
  <si>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태양광은 사업용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발전사업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자가용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직접 사용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함께 있다</t>
    </r>
    <r>
      <rPr>
        <sz val="11"/>
        <rFont val="Arial"/>
        <family val="0"/>
        <charset val="1"/>
      </rPr>
      <t xml:space="preserve">.</t>
    </r>
  </si>
  <si>
    <t xml:space="preserve">자료만으로 알 수 없는 것</t>
  </si>
  <si>
    <r>
      <rPr>
        <sz val="11"/>
        <rFont val="Noto Sans CJK SC"/>
        <family val="2"/>
      </rPr>
      <t xml:space="preserve">• 단위가 다른 에너지원</t>
    </r>
    <r>
      <rPr>
        <sz val="11"/>
        <rFont val="Arial"/>
        <family val="0"/>
        <charset val="1"/>
      </rPr>
      <t xml:space="preserve">(toe, </t>
    </r>
    <r>
      <rPr>
        <sz val="11"/>
        <rFont val="Noto Sans CJK SC"/>
        <family val="2"/>
      </rPr>
      <t xml:space="preserve">천증기톤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그대로 크기를 비교할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</si>
  <si>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한 해 자료이므로 증가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감소 추세는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</si>
  <si>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설비가 어디에 있는지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몇 개인지는 알 수 없다</t>
    </r>
    <r>
      <rPr>
        <sz val="11"/>
        <rFont val="Arial"/>
        <family val="0"/>
        <charset val="1"/>
      </rPr>
      <t xml:space="preserve">.</t>
    </r>
  </si>
  <si>
    <t xml:space="preserve">탐구 질문</t>
  </si>
  <si>
    <r>
      <rPr>
        <sz val="11"/>
        <rFont val="Noto Sans CJK SC"/>
        <family val="2"/>
      </rPr>
      <t xml:space="preserve">• 전기를 생산한 에너지원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가지를 큰 순서대로 쓰고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상위 두 개가 차지하는 비율을 계산해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</si>
  <si>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태양열</t>
    </r>
    <r>
      <rPr>
        <sz val="11"/>
        <rFont val="Arial"/>
        <family val="0"/>
        <charset val="1"/>
      </rPr>
      <t xml:space="preserve">(toe)</t>
    </r>
    <r>
      <rPr>
        <sz val="11"/>
        <rFont val="Noto Sans CJK SC"/>
        <family val="2"/>
      </rPr>
      <t xml:space="preserve">과 태양광</t>
    </r>
    <r>
      <rPr>
        <sz val="11"/>
        <rFont val="Arial"/>
        <family val="0"/>
        <charset val="1"/>
      </rPr>
      <t xml:space="preserve">(MWh)</t>
    </r>
    <r>
      <rPr>
        <sz val="11"/>
        <rFont val="Noto Sans CJK SC"/>
        <family val="2"/>
      </rPr>
      <t xml:space="preserve">의 숫자를 바로 비교하면 왜 안 될까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</si>
  <si>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A-2  </t>
    </r>
    <r>
      <rPr>
        <b val="true"/>
        <sz val="14"/>
        <color rgb="FF173C2D"/>
        <rFont val="Noto Sans CJK SC"/>
        <family val="2"/>
      </rPr>
      <t xml:space="preserve">부산의 신재생 전력 비율</t>
    </r>
    <r>
      <rPr>
        <b val="true"/>
        <sz val="14"/>
        <color rgb="FF173C2D"/>
        <rFont val="Arial"/>
        <family val="0"/>
        <charset val="1"/>
      </rPr>
      <t xml:space="preserve">: </t>
    </r>
    <r>
      <rPr>
        <b val="true"/>
        <sz val="14"/>
        <color rgb="FF173C2D"/>
        <rFont val="Noto Sans CJK SC"/>
        <family val="2"/>
      </rPr>
      <t xml:space="preserve">현재와 목표</t>
    </r>
  </si>
  <si>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 실적</t>
    </r>
    <r>
      <rPr>
        <sz val="11"/>
        <rFont val="Arial"/>
        <family val="0"/>
        <charset val="1"/>
      </rPr>
      <t xml:space="preserve">, 2030·2050</t>
    </r>
    <r>
      <rPr>
        <sz val="11"/>
        <rFont val="Noto Sans CJK SC"/>
        <family val="2"/>
      </rPr>
      <t xml:space="preserve">년 목표</t>
    </r>
  </si>
  <si>
    <t xml:space="preserve">GWh, %</t>
  </si>
  <si>
    <r>
      <rPr>
        <sz val="11"/>
        <rFont val="Noto Sans CJK SC"/>
        <family val="2"/>
      </rPr>
      <t xml:space="preserve">부산시 누리집의 비전 자료입니다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신재생 발전량이 전력 수요에서 차지하는 비율을 ‘보급률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전력자립률</t>
    </r>
    <r>
      <rPr>
        <sz val="11"/>
        <rFont val="Arial"/>
        <family val="0"/>
        <charset val="1"/>
      </rPr>
      <t xml:space="preserve">)’</t>
    </r>
    <r>
      <rPr>
        <sz val="11"/>
        <rFont val="Noto Sans CJK SC"/>
        <family val="2"/>
      </rPr>
      <t xml:space="preserve">로 나타냅니다</t>
    </r>
    <r>
      <rPr>
        <sz val="11"/>
        <rFont val="Arial"/>
        <family val="0"/>
        <charset val="1"/>
      </rPr>
      <t xml:space="preserve">.</t>
    </r>
  </si>
  <si>
    <t xml:space="preserve">부산광역시 누리집, 신재생에너지 비전과 전략</t>
  </si>
  <si>
    <t xml:space="preserve">파이낸셜뉴스, 2025.7.29. 부산시 제7차 지역에너지계획 보도</t>
  </si>
  <si>
    <t xml:space="preserve">트위그뉴스, 2025.7.29. 부산 신재생 에너지 확대 박차</t>
  </si>
  <si>
    <t xml:space="preserve">구분</t>
  </si>
  <si>
    <r>
      <rPr>
        <b val="true"/>
        <sz val="11"/>
        <rFont val="Noto Sans CJK SC"/>
        <family val="2"/>
      </rPr>
      <t xml:space="preserve">신재생 발전량</t>
    </r>
    <r>
      <rPr>
        <b val="true"/>
        <sz val="11"/>
        <rFont val="Arial"/>
        <family val="0"/>
        <charset val="1"/>
      </rPr>
      <t xml:space="preserve">(GWh)</t>
    </r>
  </si>
  <si>
    <r>
      <rPr>
        <b val="true"/>
        <sz val="11"/>
        <rFont val="Noto Sans CJK SC"/>
        <family val="2"/>
      </rPr>
      <t xml:space="preserve">전력 목표수요</t>
    </r>
    <r>
      <rPr>
        <b val="true"/>
        <sz val="11"/>
        <rFont val="Arial"/>
        <family val="0"/>
        <charset val="1"/>
      </rPr>
      <t xml:space="preserve">(GWh)</t>
    </r>
  </si>
  <si>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</si>
  <si>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목표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</si>
  <si>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2050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목표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</si>
  <si>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※ 비율은 수식으로 계산했습니다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누리집 표기는 </t>
    </r>
    <r>
      <rPr>
        <i val="true"/>
        <sz val="9"/>
        <rFont val="Arial"/>
        <family val="0"/>
        <charset val="1"/>
      </rPr>
      <t xml:space="preserve">4.4%·20%·50%</t>
    </r>
    <r>
      <rPr>
        <i val="true"/>
        <sz val="9"/>
        <rFont val="Noto Sans CJK SC"/>
        <family val="2"/>
      </rPr>
      <t xml:space="preserve">이며</t>
    </r>
    <r>
      <rPr>
        <i val="true"/>
        <sz val="9"/>
        <rFont val="Arial"/>
        <family val="0"/>
        <charset val="1"/>
      </rPr>
      <t xml:space="preserve">, 2022</t>
    </r>
    <r>
      <rPr>
        <i val="true"/>
        <sz val="9"/>
        <rFont val="Noto Sans CJK SC"/>
        <family val="2"/>
      </rPr>
      <t xml:space="preserve">년 계산값</t>
    </r>
    <r>
      <rPr>
        <i val="true"/>
        <sz val="9"/>
        <rFont val="Arial"/>
        <family val="0"/>
        <charset val="1"/>
      </rPr>
      <t xml:space="preserve">(4.3%)</t>
    </r>
    <r>
      <rPr>
        <i val="true"/>
        <sz val="9"/>
        <rFont val="Noto Sans CJK SC"/>
        <family val="2"/>
      </rPr>
      <t xml:space="preserve">과의 차이는 산정 방식 차이일 수 있습니다</t>
    </r>
    <r>
      <rPr>
        <i val="true"/>
        <sz val="9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</si>
  <si>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 확정한 「제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차 지역에너지계획」은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 신재생 전력 자립률 목표를 </t>
    </r>
    <r>
      <rPr>
        <sz val="11"/>
        <rFont val="Arial"/>
        <family val="0"/>
        <charset val="1"/>
      </rPr>
      <t xml:space="preserve">13.5%</t>
    </r>
    <r>
      <rPr>
        <sz val="11"/>
        <rFont val="Noto Sans CJK SC"/>
        <family val="2"/>
      </rPr>
      <t xml:space="preserve">로 정했다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</si>
  <si>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같은 계획은 연료전지</t>
    </r>
    <r>
      <rPr>
        <sz val="11"/>
        <rFont val="Arial"/>
        <family val="0"/>
        <charset val="1"/>
      </rPr>
      <t xml:space="preserve">·ESS </t>
    </r>
    <r>
      <rPr>
        <sz val="11"/>
        <rFont val="Noto Sans CJK SC"/>
        <family val="2"/>
      </rPr>
      <t xml:space="preserve">등 분산형 전원을 </t>
    </r>
    <r>
      <rPr>
        <sz val="11"/>
        <rFont val="Arial"/>
        <family val="0"/>
        <charset val="1"/>
      </rPr>
      <t xml:space="preserve">2023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1,054GWh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3,936GWh</t>
    </r>
    <r>
      <rPr>
        <sz val="11"/>
        <rFont val="Noto Sans CJK SC"/>
        <family val="2"/>
      </rPr>
      <t xml:space="preserve">로 늘리는 목표를 제시했다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</si>
  <si>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2022</t>
    </r>
    <r>
      <rPr>
        <sz val="11"/>
        <rFont val="Noto Sans CJK SC"/>
        <family val="2"/>
      </rPr>
      <t xml:space="preserve">년 부산의 신재생 전력 비율은 </t>
    </r>
    <r>
      <rPr>
        <sz val="11"/>
        <rFont val="Arial"/>
        <family val="0"/>
        <charset val="1"/>
      </rPr>
      <t xml:space="preserve">4.4%</t>
    </r>
    <r>
      <rPr>
        <sz val="11"/>
        <rFont val="Noto Sans CJK SC"/>
        <family val="2"/>
      </rPr>
      <t xml:space="preserve">였다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</si>
  <si>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2030</t>
    </r>
    <r>
      <rPr>
        <sz val="11"/>
        <rFont val="Noto Sans CJK SC"/>
        <family val="2"/>
      </rPr>
      <t xml:space="preserve">년까지 신재생 발전량을 약 </t>
    </r>
    <r>
      <rPr>
        <sz val="11"/>
        <rFont val="Arial"/>
        <family val="0"/>
        <charset val="1"/>
      </rPr>
      <t xml:space="preserve">4.8</t>
    </r>
    <r>
      <rPr>
        <sz val="11"/>
        <rFont val="Noto Sans CJK SC"/>
        <family val="2"/>
      </rPr>
      <t xml:space="preserve">배로 늘려야 </t>
    </r>
    <r>
      <rPr>
        <sz val="11"/>
        <rFont val="Arial"/>
        <family val="0"/>
        <charset val="1"/>
      </rPr>
      <t xml:space="preserve">20%</t>
    </r>
    <r>
      <rPr>
        <sz val="11"/>
        <rFont val="Noto Sans CJK SC"/>
        <family val="2"/>
      </rPr>
      <t xml:space="preserve">에 이른다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</si>
  <si>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2030</t>
    </r>
    <r>
      <rPr>
        <sz val="11"/>
        <rFont val="Noto Sans CJK SC"/>
        <family val="2"/>
      </rPr>
      <t xml:space="preserve">년 목표가 자료마다 다르다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비전 </t>
    </r>
    <r>
      <rPr>
        <sz val="11"/>
        <rFont val="Arial"/>
        <family val="0"/>
        <charset val="1"/>
      </rPr>
      <t xml:space="preserve">20%, 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차 계획 </t>
    </r>
    <r>
      <rPr>
        <sz val="11"/>
        <rFont val="Arial"/>
        <family val="0"/>
        <charset val="1"/>
      </rPr>
      <t xml:space="preserve">13.5%). </t>
    </r>
    <r>
      <rPr>
        <sz val="11"/>
        <rFont val="Noto Sans CJK SC"/>
        <family val="2"/>
      </rPr>
      <t xml:space="preserve">어느 것이 최신 계획인지 확인해야 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</si>
  <si>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목표를 어떤 방법으로 달성할지는 이 표만으로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</si>
  <si>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2022</t>
    </r>
    <r>
      <rPr>
        <sz val="11"/>
        <rFont val="Noto Sans CJK SC"/>
        <family val="2"/>
      </rPr>
      <t xml:space="preserve">년 실적과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 목표 사이의 차이를 </t>
    </r>
    <r>
      <rPr>
        <sz val="11"/>
        <rFont val="Arial"/>
        <family val="0"/>
        <charset val="1"/>
      </rPr>
      <t xml:space="preserve">GWh</t>
    </r>
    <r>
      <rPr>
        <sz val="11"/>
        <rFont val="Noto Sans CJK SC"/>
        <family val="2"/>
      </rPr>
      <t xml:space="preserve">로 계산해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</si>
  <si>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두 자료의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 목표가 다른 이유를 추측해 보고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 방법을 정해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</si>
  <si>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A-3  </t>
    </r>
    <r>
      <rPr>
        <b val="true"/>
        <sz val="14"/>
        <color rgb="FF173C2D"/>
        <rFont val="Noto Sans CJK SC"/>
        <family val="2"/>
      </rPr>
      <t xml:space="preserve">부산역 선상주차장 태양광 발전소 </t>
    </r>
    <r>
      <rPr>
        <b val="true"/>
        <sz val="14"/>
        <color rgb="FF173C2D"/>
        <rFont val="Arial"/>
        <family val="0"/>
        <charset val="1"/>
      </rPr>
      <t xml:space="preserve">(</t>
    </r>
    <r>
      <rPr>
        <b val="true"/>
        <sz val="14"/>
        <color rgb="FF173C2D"/>
        <rFont val="Noto Sans CJK SC"/>
        <family val="2"/>
      </rPr>
      <t xml:space="preserve">설비용량 </t>
    </r>
    <r>
      <rPr>
        <b val="true"/>
        <sz val="14"/>
        <color rgb="FF173C2D"/>
        <rFont val="Arial"/>
        <family val="0"/>
        <charset val="1"/>
      </rPr>
      <t xml:space="preserve">834kW)</t>
    </r>
  </si>
  <si>
    <r>
      <rPr>
        <sz val="11"/>
        <rFont val="Arial"/>
        <family val="0"/>
        <charset val="1"/>
      </rPr>
      <t xml:space="preserve">2021~2025</t>
    </r>
    <r>
      <rPr>
        <sz val="11"/>
        <rFont val="Noto Sans CJK SC"/>
        <family val="2"/>
      </rPr>
      <t xml:space="preserve">년 월별</t>
    </r>
    <r>
      <rPr>
        <sz val="11"/>
        <rFont val="Arial"/>
        <family val="0"/>
        <charset val="1"/>
      </rPr>
      <t xml:space="preserve">, 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·7</t>
    </r>
    <r>
      <rPr>
        <sz val="11"/>
        <rFont val="Noto Sans CJK SC"/>
        <family val="2"/>
      </rPr>
      <t xml:space="preserve">월 시간대별</t>
    </r>
  </si>
  <si>
    <t xml:space="preserve">kWh</t>
  </si>
  <si>
    <r>
      <rPr>
        <sz val="11"/>
        <rFont val="Noto Sans CJK SC"/>
        <family val="2"/>
      </rPr>
      <t xml:space="preserve">부산 동구 부산역 선상주차장 지붕에 설치된 태양광 발전소의 실제 발전 기록입니다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날마다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시간 단위로 기록한 값을 월별로 합쳤습니다</t>
    </r>
    <r>
      <rPr>
        <sz val="11"/>
        <rFont val="Arial"/>
        <family val="0"/>
        <charset val="1"/>
      </rPr>
      <t xml:space="preserve">.</t>
    </r>
  </si>
  <si>
    <t xml:space="preserve">한국남부발전(주)_부산역선상주차장 태양광발전실적(2020.8.15~2026.2.28)</t>
  </si>
  <si>
    <t xml:space="preserve">한국남부발전(주)_태양광발전기 사양정보</t>
  </si>
  <si>
    <r>
      <rPr>
        <b val="true"/>
        <sz val="11"/>
        <rFont val="Noto Sans CJK SC"/>
        <family val="2"/>
      </rPr>
      <t xml:space="preserve">설비용량</t>
    </r>
    <r>
      <rPr>
        <b val="true"/>
        <sz val="11"/>
        <rFont val="Arial"/>
        <family val="0"/>
        <charset val="1"/>
      </rPr>
      <t xml:space="preserve">(kW)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</si>
  <si>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년 시간</t>
    </r>
    <r>
      <rPr>
        <b val="true"/>
        <sz val="11"/>
        <rFont val="Arial"/>
        <family val="0"/>
        <charset val="1"/>
      </rPr>
      <t xml:space="preserve">(h)</t>
    </r>
  </si>
  <si>
    <t xml:space="preserve">월</t>
  </si>
  <si>
    <r>
      <rPr>
        <b val="true"/>
        <sz val="11"/>
        <rFont val="Arial"/>
        <family val="0"/>
        <charset val="1"/>
      </rPr>
      <t xml:space="preserve">2021</t>
    </r>
    <r>
      <rPr>
        <b val="true"/>
        <sz val="11"/>
        <rFont val="Noto Sans CJK SC"/>
        <family val="2"/>
      </rPr>
      <t xml:space="preserve">년</t>
    </r>
  </si>
  <si>
    <r>
      <rPr>
        <b val="true"/>
        <sz val="11"/>
        <rFont val="Arial"/>
        <family val="0"/>
        <charset val="1"/>
      </rPr>
      <t xml:space="preserve">2022</t>
    </r>
    <r>
      <rPr>
        <b val="true"/>
        <sz val="11"/>
        <rFont val="Noto Sans CJK SC"/>
        <family val="2"/>
      </rPr>
      <t xml:space="preserve">년</t>
    </r>
  </si>
  <si>
    <r>
      <rPr>
        <b val="true"/>
        <sz val="11"/>
        <rFont val="Arial"/>
        <family val="0"/>
        <charset val="1"/>
      </rPr>
      <t xml:space="preserve">2023</t>
    </r>
    <r>
      <rPr>
        <b val="true"/>
        <sz val="11"/>
        <rFont val="Noto Sans CJK SC"/>
        <family val="2"/>
      </rPr>
      <t xml:space="preserve">년</t>
    </r>
  </si>
  <si>
    <r>
      <rPr>
        <b val="true"/>
        <sz val="11"/>
        <rFont val="Arial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년</t>
    </r>
  </si>
  <si>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</si>
  <si>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</si>
  <si>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</si>
  <si>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</si>
  <si>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</si>
  <si>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</si>
  <si>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</si>
  <si>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</si>
  <si>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</si>
  <si>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</si>
  <si>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</si>
  <si>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</si>
  <si>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</t>
    </r>
  </si>
  <si>
    <r>
      <rPr>
        <b val="true"/>
        <sz val="11"/>
        <rFont val="Noto Sans CJK SC"/>
        <family val="2"/>
      </rPr>
      <t xml:space="preserve">연간 발전량</t>
    </r>
    <r>
      <rPr>
        <b val="true"/>
        <sz val="11"/>
        <rFont val="Arial"/>
        <family val="0"/>
        <charset val="1"/>
      </rPr>
      <t xml:space="preserve">(kWh)</t>
    </r>
  </si>
  <si>
    <r>
      <rPr>
        <b val="true"/>
        <sz val="11"/>
        <rFont val="Arial"/>
        <family val="0"/>
        <charset val="1"/>
      </rPr>
      <t xml:space="preserve">1kW</t>
    </r>
    <r>
      <rPr>
        <b val="true"/>
        <sz val="11"/>
        <rFont val="Noto Sans CJK SC"/>
        <family val="2"/>
      </rPr>
      <t xml:space="preserve">당 연간 발전량</t>
    </r>
    <r>
      <rPr>
        <b val="true"/>
        <sz val="11"/>
        <rFont val="Arial"/>
        <family val="0"/>
        <charset val="1"/>
      </rPr>
      <t xml:space="preserve">(kWh)</t>
    </r>
  </si>
  <si>
    <t xml:space="preserve">설비 이용률</t>
  </si>
  <si>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년 시간대별 평균 발전량 </t>
    </r>
    <r>
      <rPr>
        <b val="true"/>
        <sz val="11"/>
        <rFont val="Arial"/>
        <family val="0"/>
        <charset val="1"/>
      </rPr>
      <t xml:space="preserve">(kWh) — </t>
    </r>
    <r>
      <rPr>
        <b val="true"/>
        <sz val="11"/>
        <rFont val="Noto Sans CJK SC"/>
        <family val="2"/>
      </rPr>
      <t xml:space="preserve">열 번호는 원자료의 </t>
    </r>
    <r>
      <rPr>
        <b val="true"/>
        <sz val="11"/>
        <rFont val="Arial"/>
        <family val="0"/>
        <charset val="1"/>
      </rPr>
      <t xml:space="preserve">1~24 </t>
    </r>
    <r>
      <rPr>
        <b val="true"/>
        <sz val="11"/>
        <rFont val="Noto Sans CJK SC"/>
        <family val="2"/>
      </rPr>
      <t xml:space="preserve">시간 열</t>
    </r>
  </si>
  <si>
    <t xml:space="preserve">시간</t>
  </si>
  <si>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년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</si>
  <si>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년 </t>
    </r>
    <r>
      <rPr>
        <b val="true"/>
        <sz val="11"/>
        <rFont val="Arial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</si>
  <si>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</si>
  <si>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</si>
  <si>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</si>
  <si>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</si>
  <si>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</si>
  <si>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</si>
  <si>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</si>
  <si>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</si>
  <si>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</si>
  <si>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</si>
  <si>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</si>
  <si>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</si>
  <si>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13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</si>
  <si>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</si>
  <si>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</si>
  <si>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16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</si>
  <si>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17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</si>
  <si>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18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</si>
  <si>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19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</si>
  <si>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</si>
  <si>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</si>
  <si>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</si>
  <si>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23</t>
    </r>
    <r>
      <rPr>
        <sz val="11"/>
        <rFont val="Noto Sans CJK SC"/>
        <family val="2"/>
      </rPr>
      <t xml:space="preserve">시</t>
    </r>
  </si>
  <si>
    <r>
      <rPr>
        <sz val="11"/>
        <rFont val="Arial"/>
        <family val="0"/>
        <charset val="1"/>
      </rPr>
      <t xml:space="preserve">24</t>
    </r>
    <r>
      <rPr>
        <sz val="11"/>
        <rFont val="Noto Sans CJK SC"/>
        <family val="2"/>
      </rPr>
      <t xml:space="preserve">시</t>
    </r>
  </si>
  <si>
    <r>
      <rPr>
        <i val="true"/>
        <sz val="9"/>
        <rFont val="Noto Sans CJK SC"/>
        <family val="2"/>
      </rPr>
      <t xml:space="preserve">※ 원자료 열 이름은 “총량</t>
    </r>
    <r>
      <rPr>
        <i val="true"/>
        <sz val="9"/>
        <rFont val="Arial"/>
        <family val="0"/>
        <charset val="1"/>
      </rPr>
      <t xml:space="preserve">(kw)”</t>
    </r>
    <r>
      <rPr>
        <i val="true"/>
        <sz val="9"/>
        <rFont val="Noto Sans CJK SC"/>
        <family val="2"/>
      </rPr>
      <t xml:space="preserve">이지만</t>
    </r>
    <r>
      <rPr>
        <i val="true"/>
        <sz val="9"/>
        <rFont val="Arial"/>
        <family val="0"/>
        <charset val="1"/>
      </rPr>
      <t xml:space="preserve">, 1</t>
    </r>
    <r>
      <rPr>
        <i val="true"/>
        <sz val="9"/>
        <rFont val="Noto Sans CJK SC"/>
        <family val="2"/>
      </rPr>
      <t xml:space="preserve">시간 단위 값을 합한 것이므로 에너지</t>
    </r>
    <r>
      <rPr>
        <i val="true"/>
        <sz val="9"/>
        <rFont val="Arial"/>
        <family val="0"/>
        <charset val="1"/>
      </rPr>
      <t xml:space="preserve">(kWh)</t>
    </r>
    <r>
      <rPr>
        <i val="true"/>
        <sz val="9"/>
        <rFont val="Noto Sans CJK SC"/>
        <family val="2"/>
      </rPr>
      <t xml:space="preserve">로 해석합니다</t>
    </r>
    <r>
      <rPr>
        <i val="true"/>
        <sz val="9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</si>
  <si>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같은 설비라도 달마다 발전량이 다르다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</si>
  <si>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해가 긴 여름에는 발전하는 시간대가 넓다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</si>
  <si>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설비용량</t>
    </r>
    <r>
      <rPr>
        <sz val="11"/>
        <rFont val="Arial"/>
        <family val="0"/>
        <charset val="1"/>
      </rPr>
      <t xml:space="preserve">(kW)</t>
    </r>
    <r>
      <rPr>
        <sz val="11"/>
        <rFont val="Noto Sans CJK SC"/>
        <family val="2"/>
      </rPr>
      <t xml:space="preserve">과 실제 발전량</t>
    </r>
    <r>
      <rPr>
        <sz val="11"/>
        <rFont val="Arial"/>
        <family val="0"/>
        <charset val="1"/>
      </rPr>
      <t xml:space="preserve">(kWh)</t>
    </r>
    <r>
      <rPr>
        <sz val="11"/>
        <rFont val="Noto Sans CJK SC"/>
        <family val="2"/>
      </rPr>
      <t xml:space="preserve">은 다르다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</si>
  <si>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발전량이 줄어든 달의 원인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흐린 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장마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점검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이 자료만으로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</si>
  <si>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다른 장소의 태양광도 같은 비율로 발전한다고 볼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</si>
  <si>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발전량이 가장 많은 달과 적은 달을 찾고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그 이유를 날씨와 연결해 설명해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</si>
  <si>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1</t>
    </r>
    <r>
      <rPr>
        <sz val="11"/>
        <rFont val="Noto Sans CJK SC"/>
        <family val="2"/>
      </rPr>
      <t xml:space="preserve">월과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월의 시간대별 그래프를 비교하여 발전하는 시간이 어떻게 다른지 써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</si>
  <si>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5</t>
    </r>
    <r>
      <rPr>
        <sz val="11"/>
        <rFont val="Noto Sans CJK SC"/>
        <family val="2"/>
      </rPr>
      <t xml:space="preserve">차시 시뮬레이터의 가정</t>
    </r>
    <r>
      <rPr>
        <sz val="11"/>
        <rFont val="Arial"/>
        <family val="0"/>
        <charset val="1"/>
      </rPr>
      <t xml:space="preserve">(1kW</t>
    </r>
    <r>
      <rPr>
        <sz val="11"/>
        <rFont val="Noto Sans CJK SC"/>
        <family val="2"/>
      </rPr>
      <t xml:space="preserve">당 연간 </t>
    </r>
    <r>
      <rPr>
        <sz val="11"/>
        <rFont val="Arial"/>
        <family val="0"/>
        <charset val="1"/>
      </rPr>
      <t xml:space="preserve">1,000kWh)</t>
    </r>
    <r>
      <rPr>
        <sz val="11"/>
        <rFont val="Noto Sans CJK SC"/>
        <family val="2"/>
      </rPr>
      <t xml:space="preserve">과 이 발전소의 실제 값</t>
    </r>
    <r>
      <rPr>
        <sz val="11"/>
        <rFont val="Arial"/>
        <family val="0"/>
        <charset val="1"/>
      </rPr>
      <t xml:space="preserve">(1kW</t>
    </r>
    <r>
      <rPr>
        <sz val="11"/>
        <rFont val="Noto Sans CJK SC"/>
        <family val="2"/>
      </rPr>
      <t xml:space="preserve">당 약 </t>
    </r>
    <r>
      <rPr>
        <sz val="11"/>
        <rFont val="Arial"/>
        <family val="0"/>
        <charset val="1"/>
      </rPr>
      <t xml:space="preserve">1,301kWh)</t>
    </r>
    <r>
      <rPr>
        <sz val="11"/>
        <rFont val="Noto Sans CJK SC"/>
        <family val="2"/>
      </rPr>
      <t xml:space="preserve">을 비교해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</si>
  <si>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A-4  </t>
    </r>
    <r>
      <rPr>
        <b val="true"/>
        <sz val="14"/>
        <color rgb="FF173C2D"/>
        <rFont val="Noto Sans CJK SC"/>
        <family val="2"/>
      </rPr>
      <t xml:space="preserve">해상풍력</t>
    </r>
    <r>
      <rPr>
        <b val="true"/>
        <sz val="14"/>
        <color rgb="FF173C2D"/>
        <rFont val="Arial"/>
        <family val="0"/>
        <charset val="1"/>
      </rPr>
      <t xml:space="preserve">·</t>
    </r>
    <r>
      <rPr>
        <b val="true"/>
        <sz val="14"/>
        <color rgb="FF173C2D"/>
        <rFont val="Noto Sans CJK SC"/>
        <family val="2"/>
      </rPr>
      <t xml:space="preserve">연료전지 추진 사례</t>
    </r>
  </si>
  <si>
    <r>
      <rPr>
        <sz val="11"/>
        <rFont val="Arial"/>
        <family val="0"/>
        <charset val="1"/>
      </rPr>
      <t xml:space="preserve">2021</t>
    </r>
    <r>
      <rPr>
        <sz val="11"/>
        <rFont val="Noto Sans CJK SC"/>
        <family val="2"/>
      </rPr>
      <t xml:space="preserve">년 기사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부산시 누리집</t>
    </r>
  </si>
  <si>
    <r>
      <rPr>
        <sz val="11"/>
        <rFont val="Arial"/>
        <family val="0"/>
        <charset val="1"/>
      </rPr>
      <t xml:space="preserve">MW, </t>
    </r>
    <r>
      <rPr>
        <sz val="11"/>
        <rFont val="Noto Sans CJK SC"/>
        <family val="2"/>
      </rPr>
      <t xml:space="preserve">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</si>
  <si>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공급 확대 정책을 실제로 추진할 때 생기는 조건과 갈등을 보여 주는 사례입니다</t>
    </r>
    <r>
      <rPr>
        <sz val="11"/>
        <rFont val="Arial"/>
        <family val="0"/>
        <charset val="1"/>
      </rPr>
      <t xml:space="preserve">.</t>
    </r>
  </si>
  <si>
    <t xml:space="preserve">노컷뉴스(부산CBS), 2021.6.15. 부산 해상풍력 주민 반대</t>
  </si>
  <si>
    <t xml:space="preserve">부산광역시 누리집, 수소연료전지 안전성</t>
  </si>
  <si>
    <r>
      <rPr>
        <sz val="11"/>
        <rFont val="Noto Sans CJK SC"/>
        <family val="2"/>
      </rPr>
      <t xml:space="preserve">• 다대포 해상풍력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다대포항에서 약 </t>
    </r>
    <r>
      <rPr>
        <sz val="11"/>
        <rFont val="Arial"/>
        <family val="0"/>
        <charset val="1"/>
      </rPr>
      <t xml:space="preserve">4.3km </t>
    </r>
    <r>
      <rPr>
        <sz val="11"/>
        <rFont val="Noto Sans CJK SC"/>
        <family val="2"/>
      </rPr>
      <t xml:space="preserve">떨어진 바다에 </t>
    </r>
    <r>
      <rPr>
        <sz val="11"/>
        <rFont val="Arial"/>
        <family val="0"/>
        <charset val="1"/>
      </rPr>
      <t xml:space="preserve">96MW</t>
    </r>
    <r>
      <rPr>
        <sz val="11"/>
        <rFont val="Noto Sans CJK SC"/>
        <family val="2"/>
      </rPr>
      <t xml:space="preserve">급</t>
    </r>
    <r>
      <rPr>
        <sz val="11"/>
        <rFont val="Arial"/>
        <family val="0"/>
        <charset val="1"/>
      </rPr>
      <t xml:space="preserve">(12</t>
    </r>
    <r>
      <rPr>
        <sz val="11"/>
        <rFont val="Noto Sans CJK SC"/>
        <family val="2"/>
      </rPr>
      <t xml:space="preserve">기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계획</t>
    </r>
    <r>
      <rPr>
        <sz val="11"/>
        <rFont val="Arial"/>
        <family val="0"/>
        <charset val="1"/>
      </rPr>
      <t xml:space="preserve">. 2020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 산업통상자원부 발전사업 허가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</si>
  <si>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2021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주민 단체가 반대 서명 </t>
    </r>
    <r>
      <rPr>
        <sz val="11"/>
        <rFont val="Arial"/>
        <family val="0"/>
        <charset val="1"/>
      </rPr>
      <t xml:space="preserve">7,928</t>
    </r>
    <r>
      <rPr>
        <sz val="11"/>
        <rFont val="Noto Sans CJK SC"/>
        <family val="2"/>
      </rPr>
      <t xml:space="preserve">명을 부산시장과 사하구청장에게 전달했다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철새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어류 생태계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송전선 전자파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저주파 소음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주민 설명 부족 등을 이유로 들었다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</si>
  <si>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청사포 해상풍력</t>
    </r>
    <r>
      <rPr>
        <sz val="11"/>
        <rFont val="Arial"/>
        <family val="0"/>
        <charset val="1"/>
      </rPr>
      <t xml:space="preserve">(9</t>
    </r>
    <r>
      <rPr>
        <sz val="11"/>
        <rFont val="Noto Sans CJK SC"/>
        <family val="2"/>
      </rPr>
      <t xml:space="preserve">기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주민과 지역 정치권의 반대로 사업이 멈춰 있었다</t>
    </r>
    <r>
      <rPr>
        <sz val="11"/>
        <rFont val="Arial"/>
        <family val="0"/>
        <charset val="1"/>
      </rPr>
      <t xml:space="preserve">(2021</t>
    </r>
    <r>
      <rPr>
        <sz val="11"/>
        <rFont val="Noto Sans CJK SC"/>
        <family val="2"/>
      </rPr>
      <t xml:space="preserve">년 기사 기준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</si>
  <si>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• 부산시는 연료전지 발전설비를 </t>
    </r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47MW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331MW, 2050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623MW</t>
    </r>
    <r>
      <rPr>
        <sz val="11"/>
        <rFont val="Noto Sans CJK SC"/>
        <family val="2"/>
      </rPr>
      <t xml:space="preserve">로 늘리는 계획을 제시했다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</si>
  <si>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발전사업 허가를 받아도 주민 수용성 문제로 사업이 늦어질 수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</si>
  <si>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부산은 연료전지를 크게 늘릴 계획을 세웠다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</si>
  <si>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해상풍력 사례는 </t>
    </r>
    <r>
      <rPr>
        <sz val="11"/>
        <rFont val="Arial"/>
        <family val="0"/>
        <charset val="1"/>
      </rPr>
      <t xml:space="preserve">2021</t>
    </r>
    <r>
      <rPr>
        <sz val="11"/>
        <rFont val="Noto Sans CJK SC"/>
        <family val="2"/>
      </rPr>
      <t xml:space="preserve">년 기사이므로 현재 진행 상황은 따로 확인해야 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</si>
  <si>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주민이 우려한 영향이 실제로 얼마나 큰지는 이 자료로 판단할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</si>
  <si>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우리 모둠이 해상풍력을 제안한다면 주민에게 어떤 정보를 먼저 알리고 어떤 의견을 들어야 할까</t>
    </r>
    <r>
      <rPr>
        <sz val="11"/>
        <rFont val="Arial"/>
        <family val="0"/>
        <charset val="1"/>
      </rPr>
      <t xml:space="preserve">?</t>
    </r>
  </si>
  <si>
    <r>
      <rPr>
        <sz val="11"/>
        <rFont val="Arial"/>
        <family val="0"/>
        <charset val="1"/>
      </rPr>
      <t xml:space="preserve">• A-1</t>
    </r>
    <r>
      <rPr>
        <sz val="11"/>
        <rFont val="Noto Sans CJK SC"/>
        <family val="2"/>
      </rPr>
      <t xml:space="preserve">의 연료전지 생산량과 연료전지 확대 계획을 연결하여 확인할 점을 써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</si>
  <si>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B-1  </t>
    </r>
    <r>
      <rPr>
        <b val="true"/>
        <sz val="14"/>
        <color rgb="FF173C2D"/>
        <rFont val="Noto Sans CJK SC"/>
        <family val="2"/>
      </rPr>
      <t xml:space="preserve">부산 월별 전력 판매량 </t>
    </r>
    <r>
      <rPr>
        <b val="true"/>
        <sz val="14"/>
        <color rgb="FF173C2D"/>
        <rFont val="Arial"/>
        <family val="0"/>
        <charset val="1"/>
      </rPr>
      <t xml:space="preserve">(2025</t>
    </r>
    <r>
      <rPr>
        <b val="true"/>
        <sz val="14"/>
        <color rgb="FF173C2D"/>
        <rFont val="Noto Sans CJK SC"/>
        <family val="2"/>
      </rPr>
      <t xml:space="preserve">년</t>
    </r>
    <r>
      <rPr>
        <b val="true"/>
        <sz val="14"/>
        <color rgb="FF173C2D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</si>
  <si>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1~12</t>
    </r>
    <r>
      <rPr>
        <sz val="11"/>
        <rFont val="Noto Sans CJK SC"/>
        <family val="2"/>
      </rPr>
      <t xml:space="preserve">월</t>
    </r>
  </si>
  <si>
    <r>
      <rPr>
        <sz val="11"/>
        <rFont val="Arial"/>
        <family val="0"/>
        <charset val="1"/>
      </rPr>
      <t xml:space="preserve">GWh (= </t>
    </r>
    <r>
      <rPr>
        <sz val="11"/>
        <rFont val="Noto Sans CJK SC"/>
        <family val="2"/>
      </rPr>
      <t xml:space="preserve">백만 </t>
    </r>
    <r>
      <rPr>
        <sz val="11"/>
        <rFont val="Arial"/>
        <family val="0"/>
        <charset val="1"/>
      </rPr>
      <t xml:space="preserve">kWh)</t>
    </r>
  </si>
  <si>
    <r>
      <rPr>
        <sz val="11"/>
        <rFont val="Noto Sans CJK SC"/>
        <family val="2"/>
      </rPr>
      <t xml:space="preserve">한국전력공사가 부산에 판매한 전력량입니다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공장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대형 건물 등이 주로 쓰는 고압과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작은 상가 등이 주로 쓰는 저압으로 나뉩니다</t>
    </r>
    <r>
      <rPr>
        <sz val="11"/>
        <rFont val="Arial"/>
        <family val="0"/>
        <charset val="1"/>
      </rPr>
      <t xml:space="preserve">.</t>
    </r>
  </si>
  <si>
    <t xml:space="preserve">한국전력공사_시도별 공급전압별 판매실적(2025.12.31 기준)</t>
  </si>
  <si>
    <r>
      <rPr>
        <b val="true"/>
        <sz val="11"/>
        <rFont val="Noto Sans CJK SC"/>
        <family val="2"/>
      </rPr>
      <t xml:space="preserve">고압</t>
    </r>
    <r>
      <rPr>
        <b val="true"/>
        <sz val="11"/>
        <rFont val="Arial"/>
        <family val="0"/>
        <charset val="1"/>
      </rPr>
      <t xml:space="preserve">(kWh)</t>
    </r>
  </si>
  <si>
    <r>
      <rPr>
        <b val="true"/>
        <sz val="11"/>
        <rFont val="Noto Sans CJK SC"/>
        <family val="2"/>
      </rPr>
      <t xml:space="preserve">저압</t>
    </r>
    <r>
      <rPr>
        <b val="true"/>
        <sz val="11"/>
        <rFont val="Arial"/>
        <family val="0"/>
        <charset val="1"/>
      </rPr>
      <t xml:space="preserve">(kWh)</t>
    </r>
  </si>
  <si>
    <r>
      <rPr>
        <b val="true"/>
        <sz val="11"/>
        <rFont val="Noto Sans CJK SC"/>
        <family val="2"/>
      </rPr>
      <t xml:space="preserve">합계</t>
    </r>
    <r>
      <rPr>
        <b val="true"/>
        <sz val="11"/>
        <rFont val="Arial"/>
        <family val="0"/>
        <charset val="1"/>
      </rPr>
      <t xml:space="preserve">(kWh)</t>
    </r>
  </si>
  <si>
    <t xml:space="preserve">연간 합계</t>
  </si>
  <si>
    <r>
      <rPr>
        <b val="true"/>
        <sz val="11"/>
        <rFont val="Noto Sans CJK SC"/>
        <family val="2"/>
      </rPr>
      <t xml:space="preserve">연간 합계</t>
    </r>
    <r>
      <rPr>
        <b val="true"/>
        <sz val="11"/>
        <rFont val="Arial"/>
        <family val="0"/>
        <charset val="1"/>
      </rPr>
      <t xml:space="preserve">(GWh)</t>
    </r>
  </si>
  <si>
    <t xml:space="preserve">고압 비율</t>
  </si>
  <si>
    <r>
      <rPr>
        <b val="true"/>
        <sz val="11"/>
        <rFont val="Arial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월 고객호수</t>
    </r>
  </si>
  <si>
    <r>
      <rPr>
        <sz val="11"/>
        <rFont val="Arial"/>
        <family val="0"/>
        <charset val="1"/>
      </rPr>
      <t xml:space="preserve">• 8~9</t>
    </r>
    <r>
      <rPr>
        <sz val="11"/>
        <rFont val="Noto Sans CJK SC"/>
        <family val="2"/>
      </rPr>
      <t xml:space="preserve">월에 전력 판매량이 가장 많다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</si>
  <si>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고객 수는 저압이 훨씬 많지만 판매량은 고압이 더 많다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</si>
  <si>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고압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저압이 각각 어떤 용도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산업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주택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인지 정확히 나눌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</si>
  <si>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한전을 거치지 않고 직접 생산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사용한 전기는 포함되지 않을 수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</si>
  <si>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전력 사용이 많은 달과 적은 달의 차이는 얼마이며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그 이유는 무엇일까</t>
    </r>
    <r>
      <rPr>
        <sz val="11"/>
        <rFont val="Arial"/>
        <family val="0"/>
        <charset val="1"/>
      </rPr>
      <t xml:space="preserve">?</t>
    </r>
  </si>
  <si>
    <r>
      <rPr>
        <sz val="11"/>
        <rFont val="Arial"/>
        <family val="0"/>
        <charset val="1"/>
      </rPr>
      <t xml:space="preserve">• A-1</t>
    </r>
    <r>
      <rPr>
        <sz val="11"/>
        <rFont val="Noto Sans CJK SC"/>
        <family val="2"/>
      </rPr>
      <t xml:space="preserve">의 신재생 전기 생산량</t>
    </r>
    <r>
      <rPr>
        <sz val="11"/>
        <rFont val="Arial"/>
        <family val="0"/>
        <charset val="1"/>
      </rPr>
      <t xml:space="preserve">(2024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이 연간 판매량</t>
    </r>
    <r>
      <rPr>
        <sz val="11"/>
        <rFont val="Arial"/>
        <family val="0"/>
        <charset val="1"/>
      </rPr>
      <t xml:space="preserve">(2025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비교할 때 주의할 점은 무엇일까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</si>
  <si>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B-2  </t>
    </r>
    <r>
      <rPr>
        <b val="true"/>
        <sz val="14"/>
        <color rgb="FF173C2D"/>
        <rFont val="Noto Sans CJK SC"/>
        <family val="2"/>
      </rPr>
      <t xml:space="preserve">부산시청사 월별 전력</t>
    </r>
    <r>
      <rPr>
        <b val="true"/>
        <sz val="14"/>
        <color rgb="FF173C2D"/>
        <rFont val="Arial"/>
        <family val="0"/>
        <charset val="1"/>
      </rPr>
      <t xml:space="preserve">·</t>
    </r>
    <r>
      <rPr>
        <b val="true"/>
        <sz val="14"/>
        <color rgb="FF173C2D"/>
        <rFont val="Noto Sans CJK SC"/>
        <family val="2"/>
      </rPr>
      <t xml:space="preserve">도시가스 사용량</t>
    </r>
  </si>
  <si>
    <r>
      <rPr>
        <sz val="11"/>
        <rFont val="Noto Sans CJK SC"/>
        <family val="2"/>
      </rPr>
      <t xml:space="preserve">파일 기준일 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31</t>
    </r>
    <r>
      <rPr>
        <sz val="11"/>
        <rFont val="Noto Sans CJK SC"/>
        <family val="2"/>
      </rPr>
      <t xml:space="preserve">일</t>
    </r>
  </si>
  <si>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kWh, </t>
    </r>
    <r>
      <rPr>
        <sz val="11"/>
        <rFont val="Noto Sans CJK SC"/>
        <family val="2"/>
      </rPr>
      <t xml:space="preserve">도시가스 ㎥</t>
    </r>
  </si>
  <si>
    <r>
      <rPr>
        <sz val="11"/>
        <rFont val="Noto Sans CJK SC"/>
        <family val="2"/>
      </rPr>
      <t xml:space="preserve">부산시가 공공기관 온실가스를 줄이기 위해 관리하는 시설별 에너지 사용량 중 시청사 자료입니다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단위가 다른 두 에너지는 그래프를 나누어 보여 줍니다</t>
    </r>
    <r>
      <rPr>
        <sz val="11"/>
        <rFont val="Arial"/>
        <family val="0"/>
        <charset val="1"/>
      </rPr>
      <t xml:space="preserve">.</t>
    </r>
  </si>
  <si>
    <t xml:space="preserve">부산광역시_공공기관 온실가스 배출량 현황(시설별, 파일 기준일 2025.12.31)</t>
  </si>
  <si>
    <t xml:space="preserve">부산광역시 누리집, 전략2 에너지 효율화·수요관리</t>
  </si>
  <si>
    <r>
      <rPr>
        <b val="true"/>
        <sz val="11"/>
        <rFont val="Noto Sans CJK SC"/>
        <family val="2"/>
      </rPr>
      <t xml:space="preserve">전력</t>
    </r>
    <r>
      <rPr>
        <b val="true"/>
        <sz val="11"/>
        <rFont val="Arial"/>
        <family val="0"/>
        <charset val="1"/>
      </rPr>
      <t xml:space="preserve">(kWh)</t>
    </r>
  </si>
  <si>
    <r>
      <rPr>
        <b val="true"/>
        <sz val="11"/>
        <rFont val="Noto Sans CJK SC"/>
        <family val="2"/>
      </rPr>
      <t xml:space="preserve">도시가스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㎥</t>
    </r>
    <r>
      <rPr>
        <b val="true"/>
        <sz val="11"/>
        <rFont val="Arial"/>
        <family val="0"/>
        <charset val="1"/>
      </rPr>
      <t xml:space="preserve">)</t>
    </r>
  </si>
  <si>
    <t xml:space="preserve">월평균</t>
  </si>
  <si>
    <r>
      <rPr>
        <sz val="11"/>
        <rFont val="Noto Sans CJK SC"/>
        <family val="2"/>
      </rPr>
      <t xml:space="preserve">• 부산시는 시 소유 공공시설의 온실가스를 </t>
    </r>
    <r>
      <rPr>
        <sz val="11"/>
        <rFont val="Arial"/>
        <family val="0"/>
        <charset val="1"/>
      </rPr>
      <t xml:space="preserve">2018</t>
    </r>
    <r>
      <rPr>
        <sz val="11"/>
        <rFont val="Noto Sans CJK SC"/>
        <family val="2"/>
      </rPr>
      <t xml:space="preserve">년 대비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년까지 </t>
    </r>
    <r>
      <rPr>
        <sz val="11"/>
        <rFont val="Arial"/>
        <family val="0"/>
        <charset val="1"/>
      </rPr>
      <t xml:space="preserve">37.4% </t>
    </r>
    <r>
      <rPr>
        <sz val="11"/>
        <rFont val="Noto Sans CJK SC"/>
        <family val="2"/>
      </rPr>
      <t xml:space="preserve">이상 줄이는 목표로 </t>
    </r>
    <r>
      <rPr>
        <sz val="11"/>
        <rFont val="Arial"/>
        <family val="0"/>
        <charset val="1"/>
      </rPr>
      <t xml:space="preserve">66</t>
    </r>
    <r>
      <rPr>
        <sz val="11"/>
        <rFont val="Noto Sans CJK SC"/>
        <family val="2"/>
      </rPr>
      <t xml:space="preserve">개 기관의 월별 에너지 사용량을 관리한다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</si>
  <si>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부산시청사 등 공공기관 </t>
    </r>
    <r>
      <rPr>
        <sz val="11"/>
        <rFont val="Arial"/>
        <family val="0"/>
        <charset val="1"/>
      </rPr>
      <t xml:space="preserve">34</t>
    </r>
    <r>
      <rPr>
        <sz val="11"/>
        <rFont val="Noto Sans CJK SC"/>
        <family val="2"/>
      </rPr>
      <t xml:space="preserve">개소가 전력 수요자원 거래시장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의무감축용량 </t>
    </r>
    <r>
      <rPr>
        <sz val="11"/>
        <rFont val="Arial"/>
        <family val="0"/>
        <charset val="1"/>
      </rPr>
      <t xml:space="preserve">9,603kW)</t>
    </r>
    <r>
      <rPr>
        <sz val="11"/>
        <rFont val="Noto Sans CJK SC"/>
        <family val="2"/>
      </rPr>
      <t xml:space="preserve">에 참여한다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</si>
  <si>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전력 사용량은 </t>
    </r>
    <r>
      <rPr>
        <sz val="11"/>
        <rFont val="Arial"/>
        <family val="0"/>
        <charset val="1"/>
      </rPr>
      <t xml:space="preserve">7~8</t>
    </r>
    <r>
      <rPr>
        <sz val="11"/>
        <rFont val="Noto Sans CJK SC"/>
        <family val="2"/>
      </rPr>
      <t xml:space="preserve">월에 가장 많다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</si>
  <si>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도시가스는 겨울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뿐 아니라 여름</t>
    </r>
    <r>
      <rPr>
        <sz val="11"/>
        <rFont val="Arial"/>
        <family val="0"/>
        <charset val="1"/>
      </rPr>
      <t xml:space="preserve">(8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에도 많이 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</si>
  <si>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사용량 변화의 원인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냉방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행사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근무 인원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이 자료만으로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</si>
  <si>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다른 공공건물도 같은 모양을 보이는지는 확인해야 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</si>
  <si>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여름에 도시가스 사용량이 늘어난 이유를 추측하고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확인할 방법을 정해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</si>
  <si>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시청사에서 에너지 사용을 줄이기 위해 먼저 개선할 시기와 설비를 제안해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</si>
  <si>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B-3  </t>
    </r>
    <r>
      <rPr>
        <b val="true"/>
        <sz val="14"/>
        <color rgb="FF173C2D"/>
        <rFont val="Noto Sans CJK SC"/>
        <family val="2"/>
      </rPr>
      <t xml:space="preserve">남구 가로등 광원별 수량</t>
    </r>
  </si>
  <si>
    <r>
      <rPr>
        <sz val="11"/>
        <rFont val="Noto Sans CJK SC"/>
        <family val="2"/>
      </rPr>
      <t xml:space="preserve">공공데이터포털 등록 정보상 </t>
    </r>
    <r>
      <rPr>
        <sz val="11"/>
        <rFont val="Arial"/>
        <family val="0"/>
        <charset val="1"/>
      </rPr>
      <t xml:space="preserve">2023</t>
    </r>
    <r>
      <rPr>
        <sz val="11"/>
        <rFont val="Noto Sans CJK SC"/>
        <family val="2"/>
      </rPr>
      <t xml:space="preserve">년 기준</t>
    </r>
  </si>
  <si>
    <t xml:space="preserve">개</t>
  </si>
  <si>
    <r>
      <rPr>
        <sz val="11"/>
        <rFont val="Noto Sans CJK SC"/>
        <family val="2"/>
      </rPr>
      <t xml:space="preserve">부산 남구가 관리하는 가로등을 광원 종류와 소비전력 구간별로 나눈 자료입니다</t>
    </r>
    <r>
      <rPr>
        <sz val="11"/>
        <rFont val="Arial"/>
        <family val="0"/>
        <charset val="1"/>
      </rPr>
      <t xml:space="preserve">. 5</t>
    </r>
    <r>
      <rPr>
        <sz val="11"/>
        <rFont val="Noto Sans CJK SC"/>
        <family val="2"/>
      </rPr>
      <t xml:space="preserve">차시 시뮬레이터의 ‘고효율 조명 교체’와 연결해 볼 수 있습니다</t>
    </r>
    <r>
      <rPr>
        <sz val="11"/>
        <rFont val="Arial"/>
        <family val="0"/>
        <charset val="1"/>
      </rPr>
      <t xml:space="preserve">.</t>
    </r>
  </si>
  <si>
    <t xml:space="preserve">부산광역시 남구_가로등현황</t>
  </si>
  <si>
    <t xml:space="preserve">광원</t>
  </si>
  <si>
    <t xml:space="preserve">소비전력 구간</t>
  </si>
  <si>
    <r>
      <rPr>
        <b val="true"/>
        <sz val="11"/>
        <rFont val="Noto Sans CJK SC"/>
        <family val="2"/>
      </rPr>
      <t xml:space="preserve">수량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개</t>
    </r>
    <r>
      <rPr>
        <b val="true"/>
        <sz val="11"/>
        <rFont val="Arial"/>
        <family val="0"/>
        <charset val="1"/>
      </rPr>
      <t xml:space="preserve">)</t>
    </r>
  </si>
  <si>
    <t xml:space="preserve">나트륨등</t>
  </si>
  <si>
    <r>
      <rPr>
        <sz val="11"/>
        <rFont val="Arial"/>
        <family val="0"/>
        <charset val="1"/>
      </rPr>
      <t xml:space="preserve">150W </t>
    </r>
    <r>
      <rPr>
        <sz val="11"/>
        <rFont val="Noto Sans CJK SC"/>
        <family val="2"/>
      </rPr>
      <t xml:space="preserve">이하</t>
    </r>
  </si>
  <si>
    <r>
      <rPr>
        <sz val="11"/>
        <rFont val="Arial"/>
        <family val="0"/>
        <charset val="1"/>
      </rPr>
      <t xml:space="preserve">250W </t>
    </r>
    <r>
      <rPr>
        <sz val="11"/>
        <rFont val="Noto Sans CJK SC"/>
        <family val="2"/>
      </rPr>
      <t xml:space="preserve">이하</t>
    </r>
  </si>
  <si>
    <t xml:space="preserve">일반메탈등</t>
  </si>
  <si>
    <r>
      <rPr>
        <sz val="11"/>
        <rFont val="Arial"/>
        <family val="0"/>
        <charset val="1"/>
      </rPr>
      <t xml:space="preserve">200W </t>
    </r>
    <r>
      <rPr>
        <sz val="11"/>
        <rFont val="Noto Sans CJK SC"/>
        <family val="2"/>
      </rPr>
      <t xml:space="preserve">이하</t>
    </r>
  </si>
  <si>
    <r>
      <rPr>
        <sz val="11"/>
        <rFont val="Arial"/>
        <family val="0"/>
        <charset val="1"/>
      </rPr>
      <t xml:space="preserve">400W </t>
    </r>
    <r>
      <rPr>
        <sz val="11"/>
        <rFont val="Noto Sans CJK SC"/>
        <family val="2"/>
      </rPr>
      <t xml:space="preserve">이하</t>
    </r>
  </si>
  <si>
    <r>
      <rPr>
        <sz val="11"/>
        <rFont val="Arial"/>
        <family val="0"/>
        <charset val="1"/>
      </rPr>
      <t xml:space="preserve">1000W </t>
    </r>
    <r>
      <rPr>
        <sz val="11"/>
        <rFont val="Noto Sans CJK SC"/>
        <family val="2"/>
      </rPr>
      <t xml:space="preserve">이하</t>
    </r>
  </si>
  <si>
    <r>
      <rPr>
        <sz val="11"/>
        <rFont val="Arial"/>
        <family val="0"/>
        <charset val="1"/>
      </rPr>
      <t xml:space="preserve">LED</t>
    </r>
    <r>
      <rPr>
        <sz val="11"/>
        <rFont val="Noto Sans CJK SC"/>
        <family val="2"/>
      </rPr>
      <t xml:space="preserve">등</t>
    </r>
  </si>
  <si>
    <r>
      <rPr>
        <sz val="11"/>
        <rFont val="Arial"/>
        <family val="0"/>
        <charset val="1"/>
      </rPr>
      <t xml:space="preserve">50W </t>
    </r>
    <r>
      <rPr>
        <sz val="11"/>
        <rFont val="Noto Sans CJK SC"/>
        <family val="2"/>
      </rPr>
      <t xml:space="preserve">이하</t>
    </r>
  </si>
  <si>
    <r>
      <rPr>
        <sz val="11"/>
        <rFont val="Arial"/>
        <family val="0"/>
        <charset val="1"/>
      </rPr>
      <t xml:space="preserve">100W </t>
    </r>
    <r>
      <rPr>
        <sz val="11"/>
        <rFont val="Noto Sans CJK SC"/>
        <family val="2"/>
      </rPr>
      <t xml:space="preserve">이하</t>
    </r>
  </si>
  <si>
    <t xml:space="preserve">광원별 합계</t>
  </si>
  <si>
    <t xml:space="preserve">전체</t>
  </si>
  <si>
    <r>
      <rPr>
        <sz val="11"/>
        <rFont val="Noto Sans CJK SC"/>
        <family val="2"/>
      </rPr>
      <t xml:space="preserve">• 남구 가로등의 대부분은 이미 </t>
    </r>
    <r>
      <rPr>
        <sz val="11"/>
        <rFont val="Arial"/>
        <family val="0"/>
        <charset val="1"/>
      </rPr>
      <t xml:space="preserve">LED</t>
    </r>
    <r>
      <rPr>
        <sz val="11"/>
        <rFont val="Noto Sans CJK SC"/>
        <family val="2"/>
      </rPr>
      <t xml:space="preserve">로 바뀌었다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</si>
  <si>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아직 나트륨등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메탈등이 </t>
    </r>
    <r>
      <rPr>
        <sz val="11"/>
        <rFont val="Arial"/>
        <family val="0"/>
        <charset val="1"/>
      </rPr>
      <t xml:space="preserve">1,235</t>
    </r>
    <r>
      <rPr>
        <sz val="11"/>
        <rFont val="Noto Sans CJK SC"/>
        <family val="2"/>
      </rPr>
      <t xml:space="preserve">개 남아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</si>
  <si>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가로등이 하루에 몇 시간 켜지는지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실제 전력 사용량은 이 자료에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</si>
  <si>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같은 밝기를 내는 데 필요한 </t>
    </r>
    <r>
      <rPr>
        <sz val="11"/>
        <rFont val="Arial"/>
        <family val="0"/>
        <charset val="1"/>
      </rPr>
      <t xml:space="preserve">LED </t>
    </r>
    <r>
      <rPr>
        <sz val="11"/>
        <rFont val="Noto Sans CJK SC"/>
        <family val="2"/>
      </rPr>
      <t xml:space="preserve">소비전력은 제품마다 다르다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</si>
  <si>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남은 나트륨등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메탈등을 모두 </t>
    </r>
    <r>
      <rPr>
        <sz val="11"/>
        <rFont val="Arial"/>
        <family val="0"/>
        <charset val="1"/>
      </rPr>
      <t xml:space="preserve">LED</t>
    </r>
    <r>
      <rPr>
        <sz val="11"/>
        <rFont val="Noto Sans CJK SC"/>
        <family val="2"/>
      </rPr>
      <t xml:space="preserve">로 바꾼다면 무엇을 더 조사해야 절감량을 계산할 수 있을까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</si>
  <si>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• 이미 </t>
    </r>
    <r>
      <rPr>
        <sz val="11"/>
        <rFont val="Arial"/>
        <family val="0"/>
        <charset val="1"/>
      </rPr>
      <t xml:space="preserve">LED</t>
    </r>
    <r>
      <rPr>
        <sz val="11"/>
        <rFont val="Noto Sans CJK SC"/>
        <family val="2"/>
      </rPr>
      <t xml:space="preserve">가 많은 지역과 아닌 지역 중 어디에 먼저 예산을 쓰는 것이 효과적일까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</si>
  <si>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B-4  </t>
    </r>
    <r>
      <rPr>
        <b val="true"/>
        <sz val="14"/>
        <color rgb="FF173C2D"/>
        <rFont val="Noto Sans CJK SC"/>
        <family val="2"/>
      </rPr>
      <t xml:space="preserve">부산시 효율화</t>
    </r>
    <r>
      <rPr>
        <b val="true"/>
        <sz val="14"/>
        <color rgb="FF173C2D"/>
        <rFont val="Arial"/>
        <family val="0"/>
        <charset val="1"/>
      </rPr>
      <t xml:space="preserve">·</t>
    </r>
    <r>
      <rPr>
        <b val="true"/>
        <sz val="14"/>
        <color rgb="FF173C2D"/>
        <rFont val="Noto Sans CJK SC"/>
        <family val="2"/>
      </rPr>
      <t xml:space="preserve">수요관리 목표와 사업</t>
    </r>
  </si>
  <si>
    <r>
      <rPr>
        <sz val="11"/>
        <rFont val="Noto Sans CJK SC"/>
        <family val="2"/>
      </rPr>
      <t xml:space="preserve">부산시 누리집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게시 시점이 서로 다름</t>
    </r>
    <r>
      <rPr>
        <sz val="11"/>
        <rFont val="Arial"/>
        <family val="0"/>
        <charset val="1"/>
      </rPr>
      <t xml:space="preserve">)</t>
    </r>
  </si>
  <si>
    <t xml:space="preserve">-</t>
  </si>
  <si>
    <r>
      <rPr>
        <sz val="11"/>
        <rFont val="Noto Sans CJK SC"/>
        <family val="2"/>
      </rPr>
      <t xml:space="preserve">에너지를 덜 쓰면서 같은 생활을 유지하도록 돕는 부산시의 목표와 사업입니다</t>
    </r>
    <r>
      <rPr>
        <sz val="11"/>
        <rFont val="Arial"/>
        <family val="0"/>
        <charset val="1"/>
      </rPr>
      <t xml:space="preserve">.</t>
    </r>
  </si>
  <si>
    <t xml:space="preserve">부산광역시 누리집, 에너지진단 및 시설개선사업</t>
  </si>
  <si>
    <r>
      <rPr>
        <b val="true"/>
        <sz val="11"/>
        <rFont val="Noto Sans CJK SC"/>
        <family val="2"/>
      </rPr>
      <t xml:space="preserve">지표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사업</t>
    </r>
  </si>
  <si>
    <t xml:space="preserve">내용</t>
  </si>
  <si>
    <r>
      <rPr>
        <sz val="11"/>
        <rFont val="Noto Sans CJK SC"/>
        <family val="2"/>
      </rPr>
      <t xml:space="preserve">에너지원단위</t>
    </r>
    <r>
      <rPr>
        <sz val="11"/>
        <rFont val="Arial"/>
        <family val="0"/>
        <charset val="1"/>
      </rPr>
      <t xml:space="preserve">(toe/</t>
    </r>
    <r>
      <rPr>
        <sz val="11"/>
        <rFont val="Noto Sans CJK SC"/>
        <family val="2"/>
      </rPr>
      <t xml:space="preserve">백만 원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</si>
  <si>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0.079 → 2030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0.068 → 2050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0.055 (</t>
    </r>
    <r>
      <rPr>
        <sz val="11"/>
        <rFont val="Noto Sans CJK SC"/>
        <family val="2"/>
      </rPr>
      <t xml:space="preserve">목표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</si>
  <si>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전력 수요반응자원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개소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</si>
  <si>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220 → 2030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300 → 2050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500 (</t>
    </r>
    <r>
      <rPr>
        <sz val="11"/>
        <rFont val="Noto Sans CJK SC"/>
        <family val="2"/>
      </rPr>
      <t xml:space="preserve">목표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</si>
  <si>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차 지역에너지계획</t>
    </r>
    <r>
      <rPr>
        <sz val="11"/>
        <rFont val="Arial"/>
        <family val="0"/>
        <charset val="1"/>
      </rPr>
      <t xml:space="preserve">(2025)</t>
    </r>
  </si>
  <si>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년 에너지 수요를 기준수요 대비 </t>
    </r>
    <r>
      <rPr>
        <sz val="11"/>
        <rFont val="Arial"/>
        <family val="0"/>
        <charset val="1"/>
      </rPr>
      <t xml:space="preserve">15.3% </t>
    </r>
    <r>
      <rPr>
        <sz val="11"/>
        <rFont val="Noto Sans CJK SC"/>
        <family val="2"/>
      </rPr>
      <t xml:space="preserve">줄인 </t>
    </r>
    <r>
      <rPr>
        <sz val="11"/>
        <rFont val="Arial"/>
        <family val="0"/>
        <charset val="1"/>
      </rPr>
      <t xml:space="preserve">622</t>
    </r>
    <r>
      <rPr>
        <sz val="11"/>
        <rFont val="Noto Sans CJK SC"/>
        <family val="2"/>
      </rPr>
      <t xml:space="preserve">만 </t>
    </r>
    <r>
      <rPr>
        <sz val="11"/>
        <rFont val="Arial"/>
        <family val="0"/>
        <charset val="1"/>
      </rPr>
      <t xml:space="preserve">toe</t>
    </r>
    <r>
      <rPr>
        <sz val="11"/>
        <rFont val="Noto Sans CJK SC"/>
        <family val="2"/>
      </rPr>
      <t xml:space="preserve">로 관리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온실가스 </t>
    </r>
    <r>
      <rPr>
        <sz val="11"/>
        <rFont val="Arial"/>
        <family val="0"/>
        <charset val="1"/>
      </rPr>
      <t xml:space="preserve">2,164</t>
    </r>
    <r>
      <rPr>
        <sz val="11"/>
        <rFont val="Noto Sans CJK SC"/>
        <family val="2"/>
      </rPr>
      <t xml:space="preserve">만</t>
    </r>
    <r>
      <rPr>
        <sz val="11"/>
        <rFont val="Arial"/>
        <family val="0"/>
        <charset val="1"/>
      </rPr>
      <t xml:space="preserve">t(2022</t>
    </r>
    <r>
      <rPr>
        <sz val="11"/>
        <rFont val="Noto Sans CJK SC"/>
        <family val="2"/>
      </rPr>
      <t xml:space="preserve">년 대비 </t>
    </r>
    <r>
      <rPr>
        <sz val="11"/>
        <rFont val="Arial"/>
        <family val="0"/>
        <charset val="1"/>
      </rPr>
      <t xml:space="preserve">13.2% </t>
    </r>
    <r>
      <rPr>
        <sz val="11"/>
        <rFont val="Noto Sans CJK SC"/>
        <family val="2"/>
      </rPr>
      <t xml:space="preserve">감축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</si>
  <si>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상업 최종에너지 소비</t>
    </r>
  </si>
  <si>
    <r>
      <rPr>
        <sz val="11"/>
        <rFont val="Noto Sans CJK SC"/>
        <family val="2"/>
      </rPr>
      <t xml:space="preserve">부산 </t>
    </r>
    <r>
      <rPr>
        <sz val="11"/>
        <rFont val="Arial"/>
        <family val="0"/>
        <charset val="1"/>
      </rPr>
      <t xml:space="preserve">2,260</t>
    </r>
    <r>
      <rPr>
        <sz val="11"/>
        <rFont val="Noto Sans CJK SC"/>
        <family val="2"/>
      </rPr>
      <t xml:space="preserve">천</t>
    </r>
    <r>
      <rPr>
        <sz val="11"/>
        <rFont val="Arial"/>
        <family val="0"/>
        <charset val="1"/>
      </rPr>
      <t xml:space="preserve">toe</t>
    </r>
    <r>
      <rPr>
        <sz val="11"/>
        <rFont val="Noto Sans CJK SC"/>
        <family val="2"/>
      </rPr>
      <t xml:space="preserve">로 국내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경기 </t>
    </r>
    <r>
      <rPr>
        <sz val="11"/>
        <rFont val="Arial"/>
        <family val="0"/>
        <charset val="1"/>
      </rPr>
      <t xml:space="preserve">9,843 &gt; </t>
    </r>
    <r>
      <rPr>
        <sz val="11"/>
        <rFont val="Noto Sans CJK SC"/>
        <family val="2"/>
      </rPr>
      <t xml:space="preserve">서울 </t>
    </r>
    <r>
      <rPr>
        <sz val="11"/>
        <rFont val="Arial"/>
        <family val="0"/>
        <charset val="1"/>
      </rPr>
      <t xml:space="preserve">8,209 &gt; </t>
    </r>
    <r>
      <rPr>
        <sz val="11"/>
        <rFont val="Noto Sans CJK SC"/>
        <family val="2"/>
      </rPr>
      <t xml:space="preserve">경북 </t>
    </r>
    <r>
      <rPr>
        <sz val="11"/>
        <rFont val="Arial"/>
        <family val="0"/>
        <charset val="1"/>
      </rPr>
      <t xml:space="preserve">2,275 &gt; </t>
    </r>
    <r>
      <rPr>
        <sz val="11"/>
        <rFont val="Noto Sans CJK SC"/>
        <family val="2"/>
      </rPr>
      <t xml:space="preserve">부산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인천 </t>
    </r>
    <r>
      <rPr>
        <sz val="11"/>
        <rFont val="Arial"/>
        <family val="0"/>
        <charset val="1"/>
      </rPr>
      <t xml:space="preserve">2,219)</t>
    </r>
  </si>
  <si>
    <r>
      <rPr>
        <sz val="11"/>
        <rFont val="Noto Sans CJK SC"/>
        <family val="2"/>
      </rPr>
      <t xml:space="preserve">에너지진단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시설개선 지원</t>
    </r>
  </si>
  <si>
    <r>
      <rPr>
        <sz val="11"/>
        <rFont val="Noto Sans CJK SC"/>
        <family val="2"/>
      </rPr>
      <t xml:space="preserve">연간 에너지 사용량 </t>
    </r>
    <r>
      <rPr>
        <sz val="11"/>
        <rFont val="Arial"/>
        <family val="0"/>
        <charset val="1"/>
      </rPr>
      <t xml:space="preserve">2,000toe </t>
    </r>
    <r>
      <rPr>
        <sz val="11"/>
        <rFont val="Noto Sans CJK SC"/>
        <family val="2"/>
      </rPr>
      <t xml:space="preserve">미만 중소기업 대상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진단비 전액과 시설개선비 </t>
    </r>
    <r>
      <rPr>
        <sz val="11"/>
        <rFont val="Arial"/>
        <family val="0"/>
        <charset val="1"/>
      </rPr>
      <t xml:space="preserve">50% </t>
    </r>
    <r>
      <rPr>
        <sz val="11"/>
        <rFont val="Noto Sans CJK SC"/>
        <family val="2"/>
      </rPr>
      <t xml:space="preserve">이내 지원</t>
    </r>
  </si>
  <si>
    <t xml:space="preserve">에너지 홈닥터</t>
  </si>
  <si>
    <r>
      <rPr>
        <sz val="11"/>
        <rFont val="Noto Sans CJK SC"/>
        <family val="2"/>
      </rPr>
      <t xml:space="preserve">가정을 방문해 소비 패턴과 대기전력을 측정하고 절약 방법을 안내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시는 가구당 연평균 약 </t>
    </r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만 원 절감으로 홍보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</si>
  <si>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부산시는 같은 경제활동에 쓰는 에너지를 줄이는 목표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에너지원단위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를 세웠다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</si>
  <si>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기업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가정 대상의 진단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상담 사업이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</si>
  <si>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가정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상업 소비 순위의 조사 연도는 누리집에 표시되어 있지 않다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</si>
  <si>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홈닥터 절감액은 홍보 자료의 값이며 산정 방법은 확인할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</si>
  <si>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에너지원단위가 낮아진다는 것은 무엇을 뜻할까</t>
    </r>
    <r>
      <rPr>
        <sz val="11"/>
        <rFont val="Arial"/>
        <family val="0"/>
        <charset val="1"/>
      </rPr>
      <t xml:space="preserve">? </t>
    </r>
    <r>
      <rPr>
        <sz val="11"/>
        <rFont val="Noto Sans CJK SC"/>
        <family val="2"/>
      </rPr>
      <t xml:space="preserve">쉬운 말로 설명해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</si>
  <si>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우리 모둠이 효율화 사업을 고른다면 성과를 어떤 숫자로 확인할까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</si>
  <si>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C-1  </t>
    </r>
    <r>
      <rPr>
        <b val="true"/>
        <sz val="14"/>
        <color rgb="FF173C2D"/>
        <rFont val="Noto Sans CJK SC"/>
        <family val="2"/>
      </rPr>
      <t xml:space="preserve">클린에너지 혁신기업 육성</t>
    </r>
    <r>
      <rPr>
        <b val="true"/>
        <sz val="14"/>
        <color rgb="FF173C2D"/>
        <rFont val="Arial"/>
        <family val="0"/>
        <charset val="1"/>
      </rPr>
      <t xml:space="preserve">: </t>
    </r>
    <r>
      <rPr>
        <b val="true"/>
        <sz val="14"/>
        <color rgb="FF173C2D"/>
        <rFont val="Noto Sans CJK SC"/>
        <family val="2"/>
      </rPr>
      <t xml:space="preserve">목표와 지원 내용</t>
    </r>
  </si>
  <si>
    <t xml:space="preserve">부산시 누리집</t>
  </si>
  <si>
    <r>
      <rPr>
        <sz val="11"/>
        <rFont val="Noto Sans CJK SC"/>
        <family val="2"/>
      </rPr>
      <t xml:space="preserve">개사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</t>
    </r>
  </si>
  <si>
    <r>
      <rPr>
        <sz val="11"/>
        <rFont val="Noto Sans CJK SC"/>
        <family val="2"/>
      </rPr>
      <t xml:space="preserve">에너지 기술을 가진 기업을 키우는 사업입니다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성과가 에너지 절감량으로 바로 나타나지 않으므로 다른 지표가 필요합니다</t>
    </r>
    <r>
      <rPr>
        <sz val="11"/>
        <rFont val="Arial"/>
        <family val="0"/>
        <charset val="1"/>
      </rPr>
      <t xml:space="preserve">.</t>
    </r>
  </si>
  <si>
    <t xml:space="preserve">부산광역시 누리집, 클린에너지기술 혁신기업 육성사업</t>
  </si>
  <si>
    <t xml:space="preserve">기업 수</t>
  </si>
  <si>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</t>
    </r>
  </si>
  <si>
    <t xml:space="preserve">항목</t>
  </si>
  <si>
    <t xml:space="preserve">지원 대상</t>
  </si>
  <si>
    <r>
      <rPr>
        <sz val="11"/>
        <rFont val="Noto Sans CJK SC"/>
        <family val="2"/>
      </rPr>
      <t xml:space="preserve">부산에 본사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공장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연구소 중 하나 이상을 둔 클린에너지 기술 중소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중견기업</t>
    </r>
  </si>
  <si>
    <t xml:space="preserve">지원 규모</t>
  </si>
  <si>
    <r>
      <rPr>
        <sz val="11"/>
        <rFont val="Noto Sans CJK SC"/>
        <family val="2"/>
      </rPr>
      <t xml:space="preserve">평가 결과에 따라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개사 내외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신규 선정 기업에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 인증</t>
    </r>
  </si>
  <si>
    <t xml:space="preserve">기술개발 지원</t>
  </si>
  <si>
    <r>
      <rPr>
        <sz val="11"/>
        <rFont val="Noto Sans CJK SC"/>
        <family val="2"/>
      </rPr>
      <t xml:space="preserve">최대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천만 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시제품 제작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제품 개선</t>
    </r>
    <r>
      <rPr>
        <sz val="11"/>
        <rFont val="Arial"/>
        <family val="0"/>
        <charset val="1"/>
      </rPr>
      <t xml:space="preserve">)</t>
    </r>
  </si>
  <si>
    <t xml:space="preserve">사업화 지원</t>
  </si>
  <si>
    <r>
      <rPr>
        <sz val="11"/>
        <rFont val="Noto Sans CJK SC"/>
        <family val="2"/>
      </rPr>
      <t xml:space="preserve">최대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천만 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성능시험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테스트베드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마케팅</t>
    </r>
    <r>
      <rPr>
        <sz val="11"/>
        <rFont val="Arial"/>
        <family val="0"/>
        <charset val="1"/>
      </rPr>
      <t xml:space="preserve">)</t>
    </r>
  </si>
  <si>
    <t xml:space="preserve">수행 기관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</si>
  <si>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부산테크노파크</t>
    </r>
  </si>
  <si>
    <t xml:space="preserve">부산통합에너지센터</t>
  </si>
  <si>
    <r>
      <rPr>
        <sz val="11"/>
        <rFont val="Noto Sans CJK SC"/>
        <family val="2"/>
      </rPr>
      <t xml:space="preserve">계획상 </t>
    </r>
    <r>
      <rPr>
        <sz val="11"/>
        <rFont val="Arial"/>
        <family val="0"/>
        <charset val="1"/>
      </rPr>
      <t xml:space="preserve">2020</t>
    </r>
    <r>
      <rPr>
        <sz val="11"/>
        <rFont val="Noto Sans CJK SC"/>
        <family val="2"/>
      </rPr>
      <t xml:space="preserve">년 사전조사</t>
    </r>
    <r>
      <rPr>
        <sz val="11"/>
        <rFont val="Arial"/>
        <family val="0"/>
        <charset val="1"/>
      </rPr>
      <t xml:space="preserve">, 2023</t>
    </r>
    <r>
      <rPr>
        <sz val="11"/>
        <rFont val="Noto Sans CJK SC"/>
        <family val="2"/>
      </rPr>
      <t xml:space="preserve">년 설립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현재 운영 여부는 확인 필요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</si>
  <si>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혁신기업 수를 </t>
    </r>
    <r>
      <rPr>
        <sz val="11"/>
        <rFont val="Arial"/>
        <family val="0"/>
        <charset val="1"/>
      </rPr>
      <t xml:space="preserve">2050</t>
    </r>
    <r>
      <rPr>
        <sz val="11"/>
        <rFont val="Noto Sans CJK SC"/>
        <family val="2"/>
      </rPr>
      <t xml:space="preserve">년까지 </t>
    </r>
    <r>
      <rPr>
        <sz val="11"/>
        <rFont val="Arial"/>
        <family val="0"/>
        <charset val="1"/>
      </rPr>
      <t xml:space="preserve">300</t>
    </r>
    <r>
      <rPr>
        <sz val="11"/>
        <rFont val="Noto Sans CJK SC"/>
        <family val="2"/>
      </rPr>
      <t xml:space="preserve">개로 늘리는 목표가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</si>
  <si>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한 기업이 받을 수 있는 지원금의 상한이 정해져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</si>
  <si>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현재 혁신기업이 몇 개인지는 이 자료에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</si>
  <si>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지원받은 기업의 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고용 변화는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</si>
  <si>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지원 기업을 ‘많이’ 뽑는 것과 ‘적게 뽑아 많이’ 지원하는 것의 장단점은 무엇일까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</si>
  <si>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• 이 사업의 성과를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 뒤와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 뒤에 각각 무엇으로 확인할까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</si>
  <si>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C-2  </t>
    </r>
    <r>
      <rPr>
        <b val="true"/>
        <sz val="14"/>
        <color rgb="FF173C2D"/>
        <rFont val="Noto Sans CJK SC"/>
        <family val="2"/>
      </rPr>
      <t xml:space="preserve">전력반도체 특화단지와 육성 예산</t>
    </r>
  </si>
  <si>
    <r>
      <rPr>
        <sz val="11"/>
        <rFont val="Arial"/>
        <family val="0"/>
        <charset val="1"/>
      </rPr>
      <t xml:space="preserve">2023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 발표</t>
    </r>
    <r>
      <rPr>
        <sz val="11"/>
        <rFont val="Arial"/>
        <family val="0"/>
        <charset val="1"/>
      </rPr>
      <t xml:space="preserve">, 2025</t>
    </r>
    <r>
      <rPr>
        <sz val="11"/>
        <rFont val="Noto Sans CJK SC"/>
        <family val="2"/>
      </rPr>
      <t xml:space="preserve">년 예산</t>
    </r>
  </si>
  <si>
    <r>
      <rPr>
        <sz val="11"/>
        <rFont val="Noto Sans CJK SC"/>
        <family val="2"/>
      </rPr>
      <t xml:space="preserve">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개사</t>
    </r>
  </si>
  <si>
    <r>
      <rPr>
        <sz val="11"/>
        <rFont val="Noto Sans CJK SC"/>
        <family val="2"/>
      </rPr>
      <t xml:space="preserve">전력반도체는 전기를 효율적으로 바꾸고 제어하는 부품으로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신재생 발전 설비 등에 쓰입니다</t>
    </r>
    <r>
      <rPr>
        <sz val="11"/>
        <rFont val="Arial"/>
        <family val="0"/>
        <charset val="1"/>
      </rPr>
      <t xml:space="preserve">.</t>
    </r>
  </si>
  <si>
    <t xml:space="preserve">트위그뉴스, 2023.7.20. 부산 소부장 특화단지 지정</t>
  </si>
  <si>
    <t xml:space="preserve">부산광역시 2025년 전력반도체 산업 육성 세부사업별 지출내역</t>
  </si>
  <si>
    <r>
      <rPr>
        <sz val="11"/>
        <rFont val="Arial"/>
        <family val="0"/>
        <charset val="1"/>
      </rPr>
      <t xml:space="preserve">• 2023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부산 기장군 동남권방사선의과학산업단지가 화합물 전력반도체 분야 소재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장비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소부장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특화단지로 선정되었다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</si>
  <si>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당시 클러스터에는 전력반도체 관련 소부장 기업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개사가 모여 있었고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화합물 전력반도체는 국내 수요의 </t>
    </r>
    <r>
      <rPr>
        <sz val="11"/>
        <rFont val="Arial"/>
        <family val="0"/>
        <charset val="1"/>
      </rPr>
      <t xml:space="preserve">95%</t>
    </r>
    <r>
      <rPr>
        <sz val="11"/>
        <rFont val="Noto Sans CJK SC"/>
        <family val="2"/>
      </rPr>
      <t xml:space="preserve">를 수입에 의존한다고 소개되었다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</si>
  <si>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부산시 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‘전력반도체 산업 육성’ 세부사업 예산은 </t>
    </r>
    <r>
      <rPr>
        <sz val="11"/>
        <rFont val="Arial"/>
        <family val="0"/>
        <charset val="1"/>
      </rPr>
      <t xml:space="preserve">7,290</t>
    </r>
    <r>
      <rPr>
        <sz val="11"/>
        <rFont val="Noto Sans CJK SC"/>
        <family val="2"/>
      </rPr>
      <t xml:space="preserve">만 원이며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파워반도체 전문인력 양성 등을 지원한다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</si>
  <si>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부산은 전력반도체 산업 기반을 만들기 위한 지정과 예산을 갖고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</si>
  <si>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예산 편성액은 사업의 성과나 에너지 절감량을 뜻하지 않는다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</si>
  <si>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이 예산은 부산의 전력반도체 산업 전체 투자액이 아니다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</si>
  <si>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전력반도체 산업이 에너지 전환과 어떻게 연결되는지 설명해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</si>
  <si>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인력 양성 사업의 성과를 확인하려면 어떤 후속 자료가 필요할까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</si>
  <si>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C-3  </t>
    </r>
    <r>
      <rPr>
        <b val="true"/>
        <sz val="14"/>
        <color rgb="FF173C2D"/>
        <rFont val="Noto Sans CJK SC"/>
        <family val="2"/>
      </rPr>
      <t xml:space="preserve">수소</t>
    </r>
    <r>
      <rPr>
        <b val="true"/>
        <sz val="14"/>
        <color rgb="FF173C2D"/>
        <rFont val="Arial"/>
        <family val="0"/>
        <charset val="1"/>
      </rPr>
      <t xml:space="preserve">: </t>
    </r>
    <r>
      <rPr>
        <b val="true"/>
        <sz val="14"/>
        <color rgb="FF173C2D"/>
        <rFont val="Noto Sans CJK SC"/>
        <family val="2"/>
      </rPr>
      <t xml:space="preserve">차량</t>
    </r>
    <r>
      <rPr>
        <b val="true"/>
        <sz val="14"/>
        <color rgb="FF173C2D"/>
        <rFont val="Arial"/>
        <family val="0"/>
        <charset val="1"/>
      </rPr>
      <t xml:space="preserve">·</t>
    </r>
    <r>
      <rPr>
        <b val="true"/>
        <sz val="14"/>
        <color rgb="FF173C2D"/>
        <rFont val="Noto Sans CJK SC"/>
        <family val="2"/>
      </rPr>
      <t xml:space="preserve">충전소</t>
    </r>
    <r>
      <rPr>
        <b val="true"/>
        <sz val="14"/>
        <color rgb="FF173C2D"/>
        <rFont val="Arial"/>
        <family val="0"/>
        <charset val="1"/>
      </rPr>
      <t xml:space="preserve">·</t>
    </r>
    <r>
      <rPr>
        <b val="true"/>
        <sz val="14"/>
        <color rgb="FF173C2D"/>
        <rFont val="Noto Sans CJK SC"/>
        <family val="2"/>
      </rPr>
      <t xml:space="preserve">연료전지</t>
    </r>
  </si>
  <si>
    <r>
      <rPr>
        <sz val="11"/>
        <rFont val="Noto Sans CJK SC"/>
        <family val="2"/>
      </rPr>
      <t xml:space="preserve">수소차 </t>
    </r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충전소 </t>
    </r>
    <r>
      <rPr>
        <sz val="11"/>
        <rFont val="Arial"/>
        <family val="0"/>
        <charset val="1"/>
      </rPr>
      <t xml:space="preserve">2024.8~2025.7</t>
    </r>
  </si>
  <si>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, kg, MW</t>
    </r>
  </si>
  <si>
    <r>
      <rPr>
        <sz val="11"/>
        <rFont val="Noto Sans CJK SC"/>
        <family val="2"/>
      </rPr>
      <t xml:space="preserve">수소는 연료전지 발전과 수소차에 쓰입니다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서부산 수소충전소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강서구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의 월별 충전량과 부산의 수소차 등록 현황입니다</t>
    </r>
    <r>
      <rPr>
        <sz val="11"/>
        <rFont val="Arial"/>
        <family val="0"/>
        <charset val="1"/>
      </rPr>
      <t xml:space="preserve">.</t>
    </r>
  </si>
  <si>
    <t xml:space="preserve">(주)한국가스기술공사_서부산 수소충전소 운영 현황</t>
  </si>
  <si>
    <t xml:space="preserve">한국교통안전공단_수소전기차 등록 현황(2024.3 기준)</t>
  </si>
  <si>
    <t xml:space="preserve">연월</t>
  </si>
  <si>
    <r>
      <rPr>
        <b val="true"/>
        <sz val="11"/>
        <rFont val="Noto Sans CJK SC"/>
        <family val="2"/>
      </rPr>
      <t xml:space="preserve">충전 대수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대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</si>
  <si>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충전량</t>
    </r>
    <r>
      <rPr>
        <b val="true"/>
        <sz val="11"/>
        <rFont val="Arial"/>
        <family val="0"/>
        <charset val="1"/>
      </rPr>
      <t xml:space="preserve">(kg)</t>
    </r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</si>
  <si>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</si>
  <si>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</si>
  <si>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</si>
  <si>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</si>
  <si>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</si>
  <si>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</si>
  <si>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</si>
  <si>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</si>
  <si>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</si>
  <si>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</si>
  <si>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</si>
  <si>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</si>
  <si>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대당 평균 충전량</t>
    </r>
    <r>
      <rPr>
        <b val="true"/>
        <sz val="11"/>
        <rFont val="Arial"/>
        <family val="0"/>
        <charset val="1"/>
      </rPr>
      <t xml:space="preserve">(kg)</t>
    </r>
  </si>
  <si>
    <r>
      <rPr>
        <b val="true"/>
        <sz val="11"/>
        <rFont val="Noto Sans CJK SC"/>
        <family val="2"/>
      </rPr>
      <t xml:space="preserve">부산 수소전기차 등록 현황 </t>
    </r>
    <r>
      <rPr>
        <b val="true"/>
        <sz val="11"/>
        <rFont val="Arial"/>
        <family val="0"/>
        <charset val="1"/>
      </rPr>
      <t xml:space="preserve">(2024</t>
    </r>
    <r>
      <rPr>
        <b val="true"/>
        <sz val="11"/>
        <rFont val="Noto Sans CJK SC"/>
        <family val="2"/>
      </rPr>
      <t xml:space="preserve">년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월</t>
    </r>
    <r>
      <rPr>
        <b val="true"/>
        <sz val="11"/>
        <rFont val="Arial"/>
        <family val="0"/>
        <charset val="1"/>
      </rPr>
      <t xml:space="preserve">)</t>
    </r>
  </si>
  <si>
    <t xml:space="preserve">용도</t>
  </si>
  <si>
    <r>
      <rPr>
        <b val="true"/>
        <sz val="11"/>
        <rFont val="Noto Sans CJK SC"/>
        <family val="2"/>
      </rPr>
      <t xml:space="preserve">등록 대수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대</t>
    </r>
    <r>
      <rPr>
        <b val="true"/>
        <sz val="11"/>
        <rFont val="Arial"/>
        <family val="0"/>
        <charset val="1"/>
      </rPr>
      <t xml:space="preserve">)</t>
    </r>
  </si>
  <si>
    <t xml:space="preserve">자가용</t>
  </si>
  <si>
    <t xml:space="preserve">영업용</t>
  </si>
  <si>
    <t xml:space="preserve">관용</t>
  </si>
  <si>
    <t xml:space="preserve">개인택시</t>
  </si>
  <si>
    <r>
      <rPr>
        <sz val="11"/>
        <rFont val="Arial"/>
        <family val="0"/>
        <charset val="1"/>
      </rPr>
      <t xml:space="preserve">• 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월 부산의 수소전기차 등록 대수는 </t>
    </r>
    <r>
      <rPr>
        <sz val="11"/>
        <rFont val="Arial"/>
        <family val="0"/>
        <charset val="1"/>
      </rPr>
      <t xml:space="preserve">2,073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자가용 </t>
    </r>
    <r>
      <rPr>
        <sz val="11"/>
        <rFont val="Arial"/>
        <family val="0"/>
        <charset val="1"/>
      </rPr>
      <t xml:space="preserve">1,949, </t>
    </r>
    <r>
      <rPr>
        <sz val="11"/>
        <rFont val="Noto Sans CJK SC"/>
        <family val="2"/>
      </rPr>
      <t xml:space="preserve">영업용 </t>
    </r>
    <r>
      <rPr>
        <sz val="11"/>
        <rFont val="Arial"/>
        <family val="0"/>
        <charset val="1"/>
      </rPr>
      <t xml:space="preserve">112, </t>
    </r>
    <r>
      <rPr>
        <sz val="11"/>
        <rFont val="Noto Sans CJK SC"/>
        <family val="2"/>
      </rPr>
      <t xml:space="preserve">관용 </t>
    </r>
    <r>
      <rPr>
        <sz val="11"/>
        <rFont val="Arial"/>
        <family val="0"/>
        <charset val="1"/>
      </rPr>
      <t xml:space="preserve">10, </t>
    </r>
    <r>
      <rPr>
        <sz val="11"/>
        <rFont val="Noto Sans CJK SC"/>
        <family val="2"/>
      </rPr>
      <t xml:space="preserve">개인택시 </t>
    </r>
    <r>
      <rPr>
        <sz val="11"/>
        <rFont val="Arial"/>
        <family val="0"/>
        <charset val="1"/>
      </rPr>
      <t xml:space="preserve">2)</t>
    </r>
    <r>
      <rPr>
        <sz val="11"/>
        <rFont val="Noto Sans CJK SC"/>
        <family val="2"/>
      </rPr>
      <t xml:space="preserve">이다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전국은 </t>
    </r>
    <r>
      <rPr>
        <sz val="11"/>
        <rFont val="Arial"/>
        <family val="0"/>
        <charset val="1"/>
      </rPr>
      <t xml:space="preserve">34,883</t>
    </r>
    <r>
      <rPr>
        <sz val="11"/>
        <rFont val="Noto Sans CJK SC"/>
        <family val="2"/>
      </rPr>
      <t xml:space="preserve">대이다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</si>
  <si>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부산시 누리집의 수소 정책 자료는 </t>
    </r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년까지 수소차 </t>
    </r>
    <r>
      <rPr>
        <sz val="11"/>
        <rFont val="Arial"/>
        <family val="0"/>
        <charset val="1"/>
      </rPr>
      <t xml:space="preserve">4,500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수소버스 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수소충전소 </t>
    </r>
    <r>
      <rPr>
        <sz val="11"/>
        <rFont val="Arial"/>
        <family val="0"/>
        <charset val="1"/>
      </rPr>
      <t xml:space="preserve">19</t>
    </r>
    <r>
      <rPr>
        <sz val="11"/>
        <rFont val="Noto Sans CJK SC"/>
        <family val="2"/>
      </rPr>
      <t xml:space="preserve">개소 보급을 계획으로 제시했다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</si>
  <si>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연료전지 발전설비 계획</t>
    </r>
    <r>
      <rPr>
        <sz val="11"/>
        <rFont val="Arial"/>
        <family val="0"/>
        <charset val="1"/>
      </rPr>
      <t xml:space="preserve">: 2022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47MW → 2030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331MW → 2050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623MW</t>
    </r>
  </si>
  <si>
    <r>
      <rPr>
        <sz val="11"/>
        <rFont val="Noto Sans CJK SC"/>
        <family val="2"/>
      </rPr>
      <t xml:space="preserve">• 서부산 충전소의 충전량은 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월부터 크게 늘었다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</si>
  <si>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월 수소차 등록 대수는 </t>
    </r>
    <r>
      <rPr>
        <sz val="11"/>
        <rFont val="Arial"/>
        <family val="0"/>
        <charset val="1"/>
      </rPr>
      <t xml:space="preserve">2022</t>
    </r>
    <r>
      <rPr>
        <sz val="11"/>
        <rFont val="Noto Sans CJK SC"/>
        <family val="2"/>
      </rPr>
      <t xml:space="preserve">년 보급 계획보다 적다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</si>
  <si>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충전량이 늘어난 원인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수소버스 운행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이 자료에 나오지 않는다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</si>
  <si>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충전한 수소를 어떤 방식으로 만들었는지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</si>
  <si>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충전량이 늘어난 이유를 두 가지 추측하고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확인할 자료를 정해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</si>
  <si>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계획과 실제가 차이 날 때 정책을 어떻게 수정할 수 있을까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</si>
  <si>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C-4  </t>
    </r>
    <r>
      <rPr>
        <b val="true"/>
        <sz val="14"/>
        <color rgb="FF173C2D"/>
        <rFont val="Noto Sans CJK SC"/>
        <family val="2"/>
      </rPr>
      <t xml:space="preserve">분산에너지 특화지역 지정 </t>
    </r>
    <r>
      <rPr>
        <b val="true"/>
        <sz val="14"/>
        <color rgb="FF173C2D"/>
        <rFont val="Arial"/>
        <family val="0"/>
        <charset val="1"/>
      </rPr>
      <t xml:space="preserve">(</t>
    </r>
    <r>
      <rPr>
        <b val="true"/>
        <sz val="14"/>
        <color rgb="FF173C2D"/>
        <rFont val="Noto Sans CJK SC"/>
        <family val="2"/>
      </rPr>
      <t xml:space="preserve">부산 강서</t>
    </r>
    <r>
      <rPr>
        <b val="true"/>
        <sz val="14"/>
        <color rgb="FF173C2D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</si>
  <si>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일 발표</t>
    </r>
  </si>
  <si>
    <r>
      <rPr>
        <sz val="11"/>
        <rFont val="Noto Sans CJK SC"/>
        <family val="2"/>
      </rPr>
      <t xml:space="preserve">전기를 만든 곳 가까이에서 바로 쓰도록 규제 특례를 주는 지역입니다</t>
    </r>
    <r>
      <rPr>
        <sz val="11"/>
        <rFont val="Arial"/>
        <family val="0"/>
        <charset val="1"/>
      </rPr>
      <t xml:space="preserve">.</t>
    </r>
  </si>
  <si>
    <t xml:space="preserve">머니투데이, 2025.11.5. 분산에너지 특화지역 지정</t>
  </si>
  <si>
    <r>
      <rPr>
        <sz val="11"/>
        <rFont val="Arial"/>
        <family val="0"/>
        <charset val="1"/>
      </rPr>
      <t xml:space="preserve">• 2025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일 정부는 전남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제주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경기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곳을 분산에너지 특화지역으로 지정했다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</si>
  <si>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 강서는 에너지저장장치</t>
    </r>
    <r>
      <rPr>
        <sz val="11"/>
        <rFont val="Arial"/>
        <family val="0"/>
        <charset val="1"/>
      </rPr>
      <t xml:space="preserve">(ESS)</t>
    </r>
    <r>
      <rPr>
        <sz val="11"/>
        <rFont val="Noto Sans CJK SC"/>
        <family val="2"/>
      </rPr>
      <t xml:space="preserve">를 대규모로 설치하고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산업단지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항만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데이터센터 등에서 활용하여 전기요금을 줄이는 사업 모델을 마련할 계획이다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</si>
  <si>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부산은 전력 공급에 비해 수요가 많아 수요 관리가 필요한 지역으로 소개되었다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</si>
  <si>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 강서에서 새로운 전력 사업 모델을 시험할 수 있게 되었다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</si>
  <si>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사업 규모와 투자액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실제 효과는 이 기사에 나오지 않는다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</si>
  <si>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• ESS(</t>
    </r>
    <r>
      <rPr>
        <sz val="11"/>
        <rFont val="Noto Sans CJK SC"/>
        <family val="2"/>
      </rPr>
      <t xml:space="preserve">에너지저장장치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는 태양광 발전의 어떤 약점을 보완할 수 있을까</t>
    </r>
    <r>
      <rPr>
        <sz val="11"/>
        <rFont val="Arial"/>
        <family val="0"/>
        <charset val="1"/>
      </rPr>
      <t xml:space="preserve">? A-3</t>
    </r>
    <r>
      <rPr>
        <sz val="11"/>
        <rFont val="Noto Sans CJK SC"/>
        <family val="2"/>
      </rPr>
      <t xml:space="preserve">의 시간대별 그래프와 연결해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</si>
  <si>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D-1  </t>
    </r>
    <r>
      <rPr>
        <b val="true"/>
        <sz val="14"/>
        <color rgb="FF173C2D"/>
        <rFont val="Noto Sans CJK SC"/>
        <family val="2"/>
      </rPr>
      <t xml:space="preserve">비전 수립 과정의 시민 의견 수렴</t>
    </r>
  </si>
  <si>
    <r>
      <rPr>
        <sz val="11"/>
        <rFont val="Arial"/>
        <family val="0"/>
        <charset val="1"/>
      </rPr>
      <t xml:space="preserve">2019</t>
    </r>
    <r>
      <rPr>
        <sz val="11"/>
        <rFont val="Noto Sans CJK SC"/>
        <family val="2"/>
      </rPr>
      <t xml:space="preserve">년 비전 수립 당시</t>
    </r>
  </si>
  <si>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명</t>
    </r>
  </si>
  <si>
    <r>
      <rPr>
        <sz val="11"/>
        <rFont val="Noto Sans CJK SC"/>
        <family val="2"/>
      </rPr>
      <t xml:space="preserve">부산시가 신재생에너지 비전과 전략을 만들 때 의견을 모은 과정입니다</t>
    </r>
    <r>
      <rPr>
        <sz val="11"/>
        <rFont val="Arial"/>
        <family val="0"/>
        <charset val="1"/>
      </rPr>
      <t xml:space="preserve">.</t>
    </r>
  </si>
  <si>
    <t xml:space="preserve">부산광역시 누리집, 전략3 시민참여형 네트워크 운영</t>
  </si>
  <si>
    <r>
      <rPr>
        <sz val="11"/>
        <rFont val="Noto Sans CJK SC"/>
        <family val="2"/>
      </rPr>
      <t xml:space="preserve">• 총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여 차례 회의를 통해 시민단체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학계 등 </t>
    </r>
    <r>
      <rPr>
        <sz val="11"/>
        <rFont val="Arial"/>
        <family val="0"/>
        <charset val="1"/>
      </rPr>
      <t xml:space="preserve">1,100</t>
    </r>
    <r>
      <rPr>
        <sz val="11"/>
        <rFont val="Noto Sans CJK SC"/>
        <family val="2"/>
      </rPr>
      <t xml:space="preserve">여 명의 의견을 수렴했다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</si>
  <si>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전문가 워킹그룹 회의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시민아카데미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보고회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청년토론회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타운홀미팅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시민공청회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에너지정책위원회 등을 운영했다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</si>
  <si>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클린에너지 시민아카데미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부산시민 누구나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기당 </t>
    </r>
    <r>
      <rPr>
        <sz val="11"/>
        <rFont val="Arial"/>
        <family val="0"/>
        <charset val="1"/>
      </rPr>
      <t xml:space="preserve">50</t>
    </r>
    <r>
      <rPr>
        <sz val="11"/>
        <rFont val="Noto Sans CJK SC"/>
        <family val="2"/>
      </rPr>
      <t xml:space="preserve">명 내외</t>
    </r>
    <r>
      <rPr>
        <sz val="11"/>
        <rFont val="Arial"/>
        <family val="0"/>
        <charset val="1"/>
      </rPr>
      <t xml:space="preserve">, 4~8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운영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</si>
  <si>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여러 형식의 회의로 의견을 모았다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</si>
  <si>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모은 의견 중 무엇이 실제 계획에 반영되었는지는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</si>
  <si>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참여자가 부산 시민 전체를 대표하는지는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</si>
  <si>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참여 인원 외에 거버넌스가 잘 운영되는지 확인할 지표를 두 가지 제안해 보자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</si>
  <si>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청소년의 의견은 어떤 방식으로 모을 수 있을까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</si>
  <si>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D-2  </t>
    </r>
    <r>
      <rPr>
        <b val="true"/>
        <sz val="14"/>
        <color rgb="FF173C2D"/>
        <rFont val="Noto Sans CJK SC"/>
        <family val="2"/>
      </rPr>
      <t xml:space="preserve">영도구 주민참여형 재생에너지 사업 참여 의향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</si>
  <si>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발행 보고서의 설문</t>
    </r>
    <r>
      <rPr>
        <sz val="11"/>
        <rFont val="Arial"/>
        <family val="0"/>
        <charset val="1"/>
      </rPr>
      <t xml:space="preserve">(380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온라인</t>
    </r>
    <r>
      <rPr>
        <sz val="11"/>
        <rFont val="Arial"/>
        <family val="0"/>
        <charset val="1"/>
      </rPr>
      <t xml:space="preserve">)</t>
    </r>
  </si>
  <si>
    <t xml:space="preserve">%</t>
  </si>
  <si>
    <r>
      <rPr>
        <sz val="11"/>
        <rFont val="Noto Sans CJK SC"/>
        <family val="2"/>
      </rPr>
      <t xml:space="preserve">영도구에서 거주하거나 생활하는 </t>
    </r>
    <r>
      <rPr>
        <sz val="11"/>
        <rFont val="Arial"/>
        <family val="0"/>
        <charset val="1"/>
      </rPr>
      <t xml:space="preserve">380</t>
    </r>
    <r>
      <rPr>
        <sz val="11"/>
        <rFont val="Noto Sans CJK SC"/>
        <family val="2"/>
      </rPr>
      <t xml:space="preserve">명에게 주민참여형 이익공유 재생에너지 사업 참여 의향을 물은 결과입니다</t>
    </r>
    <r>
      <rPr>
        <sz val="11"/>
        <rFont val="Arial"/>
        <family val="0"/>
        <charset val="1"/>
      </rPr>
      <t xml:space="preserve">. (3</t>
    </r>
    <r>
      <rPr>
        <sz val="11"/>
        <rFont val="Noto Sans CJK SC"/>
        <family val="2"/>
      </rPr>
      <t xml:space="preserve">차시 </t>
    </r>
    <r>
      <rPr>
        <sz val="11"/>
        <rFont val="Arial"/>
        <family val="0"/>
        <charset val="1"/>
      </rPr>
      <t xml:space="preserve">D </t>
    </r>
    <r>
      <rPr>
        <sz val="11"/>
        <rFont val="Noto Sans CJK SC"/>
        <family val="2"/>
      </rPr>
      <t xml:space="preserve">자료와 같음</t>
    </r>
    <r>
      <rPr>
        <sz val="11"/>
        <rFont val="Arial"/>
        <family val="0"/>
        <charset val="1"/>
      </rPr>
      <t xml:space="preserve">)</t>
    </r>
  </si>
  <si>
    <t xml:space="preserve">영도구 제1차 탄소중립·녹색성장 기본계획(2025), 부록 설문보고서</t>
  </si>
  <si>
    <r>
      <rPr>
        <b val="true"/>
        <sz val="11"/>
        <rFont val="Noto Sans CJK SC"/>
        <family val="2"/>
      </rPr>
      <t xml:space="preserve">비율</t>
    </r>
    <r>
      <rPr>
        <b val="true"/>
        <sz val="11"/>
        <rFont val="Arial"/>
        <family val="0"/>
        <charset val="1"/>
      </rPr>
      <t xml:space="preserve">(%)</t>
    </r>
  </si>
  <si>
    <t xml:space="preserve">참여할 의향 있음</t>
  </si>
  <si>
    <t xml:space="preserve">적극 참여할 의향 있음</t>
  </si>
  <si>
    <r>
      <rPr>
        <sz val="11"/>
        <rFont val="Noto Sans CJK SC"/>
        <family val="2"/>
      </rPr>
      <t xml:space="preserve">• 응답자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정도가 참여 의향을 보였다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</si>
  <si>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참여 의향은 실제 참여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투자와 다르다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</si>
  <si>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부산 시민 전체의 의견으로 볼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</si>
  <si>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‘참여하겠다’는 응답을 실제 참여로 이어지게 하려면 어떤 정보와 조건이 필요할까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</si>
  <si>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D-3  </t>
    </r>
    <r>
      <rPr>
        <b val="true"/>
        <sz val="14"/>
        <color rgb="FF173C2D"/>
        <rFont val="Noto Sans CJK SC"/>
        <family val="2"/>
      </rPr>
      <t xml:space="preserve">부산광역시 주민참여형 에너지전환 지원 조례</t>
    </r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</si>
  <si>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25</t>
    </r>
    <r>
      <rPr>
        <sz val="11"/>
        <rFont val="Noto Sans CJK SC"/>
        <family val="2"/>
      </rPr>
      <t xml:space="preserve">일 공포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조례 제</t>
    </r>
    <r>
      <rPr>
        <sz val="11"/>
        <rFont val="Arial"/>
        <family val="0"/>
        <charset val="1"/>
      </rPr>
      <t xml:space="preserve">7469</t>
    </r>
    <r>
      <rPr>
        <sz val="11"/>
        <rFont val="Noto Sans CJK SC"/>
        <family val="2"/>
      </rPr>
      <t xml:space="preserve">호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</si>
  <si>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주민이 직접 에너지 생산과 관리에 참여하고 수익을 나누도록 지원하는 부산시 조례입니다</t>
    </r>
    <r>
      <rPr>
        <sz val="11"/>
        <rFont val="Arial"/>
        <family val="0"/>
        <charset val="1"/>
      </rPr>
      <t xml:space="preserve">.</t>
    </r>
  </si>
  <si>
    <t xml:space="preserve">부산광역시 주민참여형 에너지전환 지원 조례(조례 제7469호, 2024.12.25 공포)</t>
  </si>
  <si>
    <r>
      <rPr>
        <sz val="11"/>
        <rFont val="Noto Sans CJK SC"/>
        <family val="2"/>
      </rPr>
      <t xml:space="preserve">• 제정 이유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주민참여형 에너지전환으로 친환경 에너지 보급을 확대하고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전력 생산 수익을 공유하여 신재생에너지 보급 확대에 기여</t>
    </r>
  </si>
  <si>
    <r>
      <rPr>
        <sz val="11"/>
        <rFont val="Noto Sans CJK SC"/>
        <family val="2"/>
      </rPr>
      <t xml:space="preserve">• 주민참여형 에너지전환 지원사업과 주민참여형 에너지 공급자 활성화 지원사업을 규정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</si>
  <si>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재정 지원과 사무 위탁의 근거 마련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</si>
  <si>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협력체계 구축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주민 대상 에너지전환 교육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홍보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</si>
  <si>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시민참여형 발전사업을 지원할 제도적 근거가 </t>
    </r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년에 생겼다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</si>
  <si>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조례에 따라 실제로 지원한 사업 수와 금액은 이 자료에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</si>
  <si>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조례가 있으면 주민참여형 발전사업에서 무엇이 쉬워질까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</si>
  <si>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• 우리 모둠이 제안하는 정책은 조례의 어느 조항과 연결되는가</t>
    </r>
    <r>
      <rPr>
        <sz val="11"/>
        <rFont val="Arial"/>
        <family val="0"/>
        <charset val="1"/>
      </rPr>
      <t xml:space="preserve">?</t>
    </r>
  </si>
  <si>
    <r>
      <rPr>
        <b val="true"/>
        <sz val="14"/>
        <color rgb="FF173C2D"/>
        <rFont val="Arial"/>
        <family val="0"/>
        <charset val="1"/>
      </rPr>
      <t xml:space="preserve">D-4  </t>
    </r>
    <r>
      <rPr>
        <b val="true"/>
        <sz val="14"/>
        <color rgb="FF173C2D"/>
        <rFont val="Noto Sans CJK SC"/>
        <family val="2"/>
      </rPr>
      <t xml:space="preserve">시민이 참여하는 에너지 사업</t>
    </r>
  </si>
  <si>
    <r>
      <rPr>
        <sz val="11"/>
        <rFont val="Noto Sans CJK SC"/>
        <family val="2"/>
      </rPr>
      <t xml:space="preserve">부산시 누리집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지원금은 </t>
    </r>
    <r>
      <rPr>
        <sz val="11"/>
        <rFont val="Arial"/>
        <family val="0"/>
        <charset val="1"/>
      </rPr>
      <t xml:space="preserve">2019</t>
    </r>
    <r>
      <rPr>
        <sz val="11"/>
        <rFont val="Noto Sans CJK SC"/>
        <family val="2"/>
      </rPr>
      <t xml:space="preserve">년 기준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</si>
  <si>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세대</t>
    </r>
  </si>
  <si>
    <r>
      <rPr>
        <sz val="11"/>
        <rFont val="Noto Sans CJK SC"/>
        <family val="2"/>
      </rPr>
      <t xml:space="preserve">시민이 직접 설치하거나 실천에 참여하는 부산시 사업입니다</t>
    </r>
    <r>
      <rPr>
        <sz val="11"/>
        <rFont val="Arial"/>
        <family val="0"/>
        <charset val="1"/>
      </rPr>
      <t xml:space="preserve">.</t>
    </r>
  </si>
  <si>
    <t xml:space="preserve">부산광역시 누리집, 전략1 신재생에너지 보급확대</t>
  </si>
  <si>
    <t xml:space="preserve">부산광역시 누리집, 미니태양광 발전설비 보급사업</t>
  </si>
  <si>
    <t xml:space="preserve">부산광역시 누리집, 클린에너지 시민 절약 실천사업</t>
  </si>
  <si>
    <t xml:space="preserve">사업</t>
  </si>
  <si>
    <t xml:space="preserve">아파트 미니태양광</t>
  </si>
  <si>
    <r>
      <rPr>
        <sz val="11"/>
        <rFont val="Arial"/>
        <family val="0"/>
        <charset val="1"/>
      </rPr>
      <t xml:space="preserve">300W </t>
    </r>
    <r>
      <rPr>
        <sz val="11"/>
        <rFont val="Noto Sans CJK SC"/>
        <family val="2"/>
      </rPr>
      <t xml:space="preserve">설치</t>
    </r>
    <r>
      <rPr>
        <sz val="11"/>
        <rFont val="Arial"/>
        <family val="0"/>
        <charset val="1"/>
      </rPr>
      <t xml:space="preserve">, 2019</t>
    </r>
    <r>
      <rPr>
        <sz val="11"/>
        <rFont val="Noto Sans CJK SC"/>
        <family val="2"/>
      </rPr>
      <t xml:space="preserve">년 가구당 </t>
    </r>
    <r>
      <rPr>
        <sz val="11"/>
        <rFont val="Arial"/>
        <family val="0"/>
        <charset val="1"/>
      </rPr>
      <t xml:space="preserve">80</t>
    </r>
    <r>
      <rPr>
        <sz val="11"/>
        <rFont val="Noto Sans CJK SC"/>
        <family val="2"/>
      </rPr>
      <t xml:space="preserve">만 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시비 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만 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자부담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만 원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매년 약 </t>
    </r>
    <r>
      <rPr>
        <sz val="11"/>
        <rFont val="Arial"/>
        <family val="0"/>
        <charset val="1"/>
      </rPr>
      <t xml:space="preserve">400</t>
    </r>
    <r>
      <rPr>
        <sz val="11"/>
        <rFont val="Noto Sans CJK SC"/>
        <family val="2"/>
      </rPr>
      <t xml:space="preserve">세대 지원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 약 </t>
    </r>
    <r>
      <rPr>
        <sz val="11"/>
        <rFont val="Arial"/>
        <family val="0"/>
        <charset val="1"/>
      </rPr>
      <t xml:space="preserve">6,000</t>
    </r>
    <r>
      <rPr>
        <sz val="11"/>
        <rFont val="Noto Sans CJK SC"/>
        <family val="2"/>
      </rPr>
      <t xml:space="preserve">원 요금 절감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예상</t>
    </r>
    <r>
      <rPr>
        <sz val="11"/>
        <rFont val="Arial"/>
        <family val="0"/>
        <charset val="1"/>
      </rPr>
      <t xml:space="preserve">)</t>
    </r>
  </si>
  <si>
    <t xml:space="preserve">주택 태양광</t>
  </si>
  <si>
    <r>
      <rPr>
        <sz val="11"/>
        <rFont val="Noto Sans CJK SC"/>
        <family val="2"/>
      </rPr>
      <t xml:space="preserve">단독주택 </t>
    </r>
    <r>
      <rPr>
        <sz val="11"/>
        <rFont val="Arial"/>
        <family val="0"/>
        <charset val="1"/>
      </rPr>
      <t xml:space="preserve">3kW </t>
    </r>
    <r>
      <rPr>
        <sz val="11"/>
        <rFont val="Noto Sans CJK SC"/>
        <family val="2"/>
      </rPr>
      <t xml:space="preserve">설치</t>
    </r>
    <r>
      <rPr>
        <sz val="11"/>
        <rFont val="Arial"/>
        <family val="0"/>
        <charset val="1"/>
      </rPr>
      <t xml:space="preserve">, 2019</t>
    </r>
    <r>
      <rPr>
        <sz val="11"/>
        <rFont val="Noto Sans CJK SC"/>
        <family val="2"/>
      </rPr>
      <t xml:space="preserve">년 가구당 </t>
    </r>
    <r>
      <rPr>
        <sz val="11"/>
        <rFont val="Arial"/>
        <family val="0"/>
        <charset val="1"/>
      </rPr>
      <t xml:space="preserve">560</t>
    </r>
    <r>
      <rPr>
        <sz val="11"/>
        <rFont val="Noto Sans CJK SC"/>
        <family val="2"/>
      </rPr>
      <t xml:space="preserve">만 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국비 </t>
    </r>
    <r>
      <rPr>
        <sz val="11"/>
        <rFont val="Arial"/>
        <family val="0"/>
        <charset val="1"/>
      </rPr>
      <t xml:space="preserve">168, </t>
    </r>
    <r>
      <rPr>
        <sz val="11"/>
        <rFont val="Noto Sans CJK SC"/>
        <family val="2"/>
      </rPr>
      <t xml:space="preserve">시비 </t>
    </r>
    <r>
      <rPr>
        <sz val="11"/>
        <rFont val="Arial"/>
        <family val="0"/>
        <charset val="1"/>
      </rPr>
      <t xml:space="preserve">196, </t>
    </r>
    <r>
      <rPr>
        <sz val="11"/>
        <rFont val="Noto Sans CJK SC"/>
        <family val="2"/>
      </rPr>
      <t xml:space="preserve">자부담 </t>
    </r>
    <r>
      <rPr>
        <sz val="11"/>
        <rFont val="Arial"/>
        <family val="0"/>
        <charset val="1"/>
      </rPr>
      <t xml:space="preserve">196</t>
    </r>
    <r>
      <rPr>
        <sz val="11"/>
        <rFont val="Noto Sans CJK SC"/>
        <family val="2"/>
      </rPr>
      <t xml:space="preserve">만 원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매년 약 </t>
    </r>
    <r>
      <rPr>
        <sz val="11"/>
        <rFont val="Arial"/>
        <family val="0"/>
        <charset val="1"/>
      </rPr>
      <t xml:space="preserve">760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 약 </t>
    </r>
    <r>
      <rPr>
        <sz val="11"/>
        <rFont val="Arial"/>
        <family val="0"/>
        <charset val="1"/>
      </rPr>
      <t xml:space="preserve">47,000</t>
    </r>
    <r>
      <rPr>
        <sz val="11"/>
        <rFont val="Noto Sans CJK SC"/>
        <family val="2"/>
      </rPr>
      <t xml:space="preserve">원 절감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예상</t>
    </r>
    <r>
      <rPr>
        <sz val="11"/>
        <rFont val="Arial"/>
        <family val="0"/>
        <charset val="1"/>
      </rPr>
      <t xml:space="preserve">)</t>
    </r>
  </si>
  <si>
    <t xml:space="preserve">미니태양광 단체 지원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</si>
  <si>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가구 이상 아파트 동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단지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마을 단위로 신청하면 평가 후 선정</t>
    </r>
  </si>
  <si>
    <t xml:space="preserve">클린에너지 시민 절약 실천사업</t>
  </si>
  <si>
    <r>
      <rPr>
        <sz val="11"/>
        <rFont val="Noto Sans CJK SC"/>
        <family val="2"/>
      </rPr>
      <t xml:space="preserve">부산시에 등록된 비영리민간단체의 에너지 절약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확산 활동 지원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홍보성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일회성 행사는 제외</t>
    </r>
    <r>
      <rPr>
        <sz val="11"/>
        <rFont val="Arial"/>
        <family val="0"/>
        <charset val="1"/>
      </rPr>
      <t xml:space="preserve">)</t>
    </r>
  </si>
  <si>
    <t xml:space="preserve">부산 에너지시민헌장</t>
  </si>
  <si>
    <r>
      <rPr>
        <sz val="11"/>
        <rFont val="Arial"/>
        <family val="0"/>
        <charset val="1"/>
      </rPr>
      <t xml:space="preserve">2019</t>
    </r>
    <r>
      <rPr>
        <sz val="11"/>
        <rFont val="Noto Sans CJK SC"/>
        <family val="2"/>
      </rPr>
      <t xml:space="preserve">년 계획의 중점과제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현재 제정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이행 상황은 확인이 필요함</t>
    </r>
  </si>
  <si>
    <r>
      <rPr>
        <sz val="11"/>
        <rFont val="Noto Sans CJK SC"/>
        <family val="2"/>
      </rPr>
      <t xml:space="preserve">• 시민 개인과 마을 단위로 참여할 수 있는 사업이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</si>
  <si>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설치 지원에는 시민의 자부담도 포함된다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</si>
  <si>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지원금과 절감액은 </t>
    </r>
    <r>
      <rPr>
        <sz val="11"/>
        <rFont val="Arial"/>
        <family val="0"/>
        <charset val="1"/>
      </rPr>
      <t xml:space="preserve">2019</t>
    </r>
    <r>
      <rPr>
        <sz val="11"/>
        <rFont val="Noto Sans CJK SC"/>
        <family val="2"/>
      </rPr>
      <t xml:space="preserve">년 안내 기준이며 현재 금액은 다를 수 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</si>
  <si>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실제 참여 가구 수와 설치 용량은 이 자료에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</si>
  <si>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미니태양광 자부담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만 원을 월 </t>
    </r>
    <r>
      <rPr>
        <sz val="11"/>
        <rFont val="Arial"/>
        <family val="0"/>
        <charset val="1"/>
      </rPr>
      <t xml:space="preserve">6,000</t>
    </r>
    <r>
      <rPr>
        <sz val="11"/>
        <rFont val="Noto Sans CJK SC"/>
        <family val="2"/>
      </rPr>
      <t xml:space="preserve">원 절감으로 회수하려면 몇 개월이 걸릴까</t>
    </r>
    <r>
      <rPr>
        <sz val="11"/>
        <rFont val="Arial"/>
        <family val="0"/>
        <charset val="1"/>
      </rPr>
      <t xml:space="preserve">? </t>
    </r>
    <r>
      <rPr>
        <sz val="11"/>
        <rFont val="Noto Sans CJK SC"/>
        <family val="2"/>
      </rPr>
      <t xml:space="preserve">이 계산에서 빠진 조건은 무엇일까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</si>
  <si>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• 시민 참여를 늘리기 위해 지원금을 늘리는 방법과 홍보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교육을 늘리는 방법을 비교해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</si>
  <si>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Arial"/>
        <family val="0"/>
        <charset val="1"/>
      </rPr>
      <t xml:space="preserve">P-1  </t>
    </r>
    <r>
      <rPr>
        <b val="true"/>
        <sz val="14"/>
        <color rgb="FF173C2D"/>
        <rFont val="Noto Sans CJK SC"/>
        <family val="2"/>
      </rPr>
      <t xml:space="preserve">부산시 클린에너지 재정투자계획</t>
    </r>
  </si>
  <si>
    <t xml:space="preserve">부산시 누리집 비전 자료</t>
  </si>
  <si>
    <t xml:space="preserve">억 원</t>
  </si>
  <si>
    <r>
      <rPr>
        <sz val="11"/>
        <rFont val="Noto Sans CJK SC"/>
        <family val="2"/>
      </rPr>
      <t xml:space="preserve">계획을 실행하는 데 필요한 돈을 누가 얼마나 내는지 보여 줍니다</t>
    </r>
    <r>
      <rPr>
        <sz val="11"/>
        <rFont val="Arial"/>
        <family val="0"/>
        <charset val="1"/>
      </rPr>
      <t xml:space="preserve">. 4</t>
    </r>
    <r>
      <rPr>
        <sz val="11"/>
        <rFont val="Noto Sans CJK SC"/>
        <family val="2"/>
      </rPr>
      <t xml:space="preserve">차시 예산 배분을 생각할 때 참고합니다</t>
    </r>
    <r>
      <rPr>
        <sz val="11"/>
        <rFont val="Arial"/>
        <family val="0"/>
        <charset val="1"/>
      </rPr>
      <t xml:space="preserve">.</t>
    </r>
  </si>
  <si>
    <t xml:space="preserve">기간</t>
  </si>
  <si>
    <t xml:space="preserve">국비</t>
  </si>
  <si>
    <t xml:space="preserve">시비</t>
  </si>
  <si>
    <t xml:space="preserve">민자</t>
  </si>
  <si>
    <t xml:space="preserve">민자 비율</t>
  </si>
  <si>
    <r>
      <rPr>
        <sz val="11"/>
        <rFont val="Noto Sans CJK SC"/>
        <family val="2"/>
      </rPr>
      <t xml:space="preserve">민선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기</t>
    </r>
    <r>
      <rPr>
        <sz val="11"/>
        <rFont val="Arial"/>
        <family val="0"/>
        <charset val="1"/>
      </rPr>
      <t xml:space="preserve">(2019~2022)</t>
    </r>
  </si>
  <si>
    <r>
      <rPr>
        <sz val="11"/>
        <rFont val="Noto Sans CJK SC"/>
        <family val="2"/>
      </rPr>
      <t xml:space="preserve">중기</t>
    </r>
    <r>
      <rPr>
        <sz val="11"/>
        <rFont val="Arial"/>
        <family val="0"/>
        <charset val="1"/>
      </rPr>
      <t xml:space="preserve">(2023~2030)</t>
    </r>
  </si>
  <si>
    <r>
      <rPr>
        <sz val="11"/>
        <rFont val="Noto Sans CJK SC"/>
        <family val="2"/>
      </rPr>
      <t xml:space="preserve">장기</t>
    </r>
    <r>
      <rPr>
        <sz val="11"/>
        <rFont val="Arial"/>
        <family val="0"/>
        <charset val="1"/>
      </rPr>
      <t xml:space="preserve">(2031~2050)</t>
    </r>
  </si>
  <si>
    <r>
      <rPr>
        <sz val="11"/>
        <rFont val="Noto Sans CJK SC"/>
        <family val="2"/>
      </rPr>
      <t xml:space="preserve">• 모든 기간에서 민간 투자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민자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가 가장 큰 비중을 차지한다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</si>
  <si>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과제별로 예산이 어떻게 나뉘는지는 이 표에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</si>
  <si>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계획 금액이 실제로 집행되었는지는 알 수 없다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</si>
  <si>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민간 투자에 많이 의존하는 계획의 장점과 위험은 무엇일까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</si>
  <si>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• 우리 모둠의 예산 </t>
    </r>
    <r>
      <rPr>
        <sz val="11"/>
        <rFont val="Arial"/>
        <family val="0"/>
        <charset val="1"/>
      </rPr>
      <t xml:space="preserve">100%</t>
    </r>
    <r>
      <rPr>
        <sz val="11"/>
        <rFont val="Noto Sans CJK SC"/>
        <family val="2"/>
      </rPr>
      <t xml:space="preserve">는 국비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민자 중 무엇을 가정한 것인지 정해 보자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</si>
  <si>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color rgb="FF173C2D"/>
        <rFont val="Noto Sans CJK SC"/>
        <family val="2"/>
      </rPr>
      <t xml:space="preserve">출처 목록 </t>
    </r>
    <r>
      <rPr>
        <b val="true"/>
        <sz val="14"/>
        <color rgb="FF173C2D"/>
        <rFont val="Arial"/>
        <family val="0"/>
        <charset val="1"/>
      </rPr>
      <t xml:space="preserve">(2026</t>
    </r>
    <r>
      <rPr>
        <b val="true"/>
        <sz val="14"/>
        <color rgb="FF173C2D"/>
        <rFont val="Noto Sans CJK SC"/>
        <family val="2"/>
      </rPr>
      <t xml:space="preserve">년 </t>
    </r>
    <r>
      <rPr>
        <b val="true"/>
        <sz val="14"/>
        <color rgb="FF173C2D"/>
        <rFont val="Arial"/>
        <family val="0"/>
        <charset val="1"/>
      </rPr>
      <t xml:space="preserve">10</t>
    </r>
    <r>
      <rPr>
        <b val="true"/>
        <sz val="14"/>
        <color rgb="FF173C2D"/>
        <rFont val="Noto Sans CJK SC"/>
        <family val="2"/>
      </rPr>
      <t xml:space="preserve">월 </t>
    </r>
    <r>
      <rPr>
        <b val="true"/>
        <sz val="14"/>
        <color rgb="FF173C2D"/>
        <rFont val="Arial"/>
        <family val="0"/>
        <charset val="1"/>
      </rPr>
      <t xml:space="preserve">27</t>
    </r>
    <r>
      <rPr>
        <b val="true"/>
        <sz val="14"/>
        <color rgb="FF173C2D"/>
        <rFont val="Noto Sans CJK SC"/>
        <family val="2"/>
      </rPr>
      <t xml:space="preserve">일 확인</t>
    </r>
    <r>
      <rPr>
        <b val="true"/>
        <sz val="14"/>
        <color rgb="FF173C2D"/>
        <rFont val="Arial"/>
        <family val="0"/>
        <charset val="1"/>
      </rPr>
      <t xml:space="preserve">)</t>
    </r>
  </si>
  <si>
    <t xml:space="preserve">기호</t>
  </si>
  <si>
    <t xml:space="preserve">자료명</t>
  </si>
  <si>
    <t xml:space="preserve">링크</t>
  </si>
  <si>
    <t xml:space="preserve">RE</t>
  </si>
  <si>
    <r>
      <rPr>
        <sz val="11"/>
        <rFont val="Noto Sans CJK SC"/>
        <family val="2"/>
      </rPr>
      <t xml:space="preserve">부산광역시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신재생에너지 보급현황</t>
    </r>
    <r>
      <rPr>
        <sz val="11"/>
        <rFont val="Arial"/>
        <family val="0"/>
        <charset val="1"/>
      </rPr>
      <t xml:space="preserve">(2024.12.31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, 2026.2.11 </t>
    </r>
    <r>
      <rPr>
        <sz val="11"/>
        <rFont val="Noto Sans CJK SC"/>
        <family val="2"/>
      </rPr>
      <t xml:space="preserve">갱신</t>
    </r>
    <r>
      <rPr>
        <sz val="11"/>
        <rFont val="Arial"/>
        <family val="0"/>
        <charset val="1"/>
      </rPr>
      <t xml:space="preserve">)</t>
    </r>
  </si>
  <si>
    <t xml:space="preserve">https://www.data.go.kr/data/3075983/fileData.do</t>
  </si>
  <si>
    <t xml:space="preserve">BSST</t>
  </si>
  <si>
    <r>
      <rPr>
        <sz val="11"/>
        <rFont val="Noto Sans CJK SC"/>
        <family val="2"/>
      </rPr>
      <t xml:space="preserve">한국남부발전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)_</t>
    </r>
    <r>
      <rPr>
        <sz val="11"/>
        <rFont val="Noto Sans CJK SC"/>
        <family val="2"/>
      </rPr>
      <t xml:space="preserve">부산역선상주차장 태양광발전실적</t>
    </r>
    <r>
      <rPr>
        <sz val="11"/>
        <rFont val="Arial"/>
        <family val="0"/>
        <charset val="1"/>
      </rPr>
      <t xml:space="preserve">(2020.8.15~2026.2.28)</t>
    </r>
  </si>
  <si>
    <t xml:space="preserve">https://www.data.go.kr/data/15095380/fileData.do</t>
  </si>
  <si>
    <t xml:space="preserve">SPEC</t>
  </si>
  <si>
    <r>
      <rPr>
        <sz val="11"/>
        <rFont val="Noto Sans CJK SC"/>
        <family val="2"/>
      </rPr>
      <t xml:space="preserve">한국남부발전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)_</t>
    </r>
    <r>
      <rPr>
        <sz val="11"/>
        <rFont val="Noto Sans CJK SC"/>
        <family val="2"/>
      </rPr>
      <t xml:space="preserve">태양광발전기 사양정보</t>
    </r>
  </si>
  <si>
    <t xml:space="preserve">https://www.data.go.kr/data/15030079/fileData.do</t>
  </si>
  <si>
    <t xml:space="preserve">KEPCO</t>
  </si>
  <si>
    <r>
      <rPr>
        <sz val="11"/>
        <rFont val="Noto Sans CJK SC"/>
        <family val="2"/>
      </rPr>
      <t xml:space="preserve">한국전력공사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시도별 공급전압별 판매실적</t>
    </r>
    <r>
      <rPr>
        <sz val="11"/>
        <rFont val="Arial"/>
        <family val="0"/>
        <charset val="1"/>
      </rPr>
      <t xml:space="preserve">(2025.12.31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</t>
    </r>
  </si>
  <si>
    <t xml:space="preserve">https://www.data.go.kr/data/15119478/fileData.do</t>
  </si>
  <si>
    <t xml:space="preserve">PUB</t>
  </si>
  <si>
    <r>
      <rPr>
        <sz val="11"/>
        <rFont val="Noto Sans CJK SC"/>
        <family val="2"/>
      </rPr>
      <t xml:space="preserve">부산광역시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공공기관 온실가스 배출량 현황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시설별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파일 기준일 </t>
    </r>
    <r>
      <rPr>
        <sz val="11"/>
        <rFont val="Arial"/>
        <family val="0"/>
        <charset val="1"/>
      </rPr>
      <t xml:space="preserve">2025.12.31)</t>
    </r>
  </si>
  <si>
    <t xml:space="preserve">https://www.data.go.kr/data/3067482/fileData.do</t>
  </si>
  <si>
    <t xml:space="preserve">LIGHT</t>
  </si>
  <si>
    <r>
      <rPr>
        <sz val="11"/>
        <rFont val="Noto Sans CJK SC"/>
        <family val="2"/>
      </rPr>
      <t xml:space="preserve">부산광역시 남구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가로등현황</t>
    </r>
  </si>
  <si>
    <t xml:space="preserve">https://www.data.go.kr/data/15161300/fileData.do</t>
  </si>
  <si>
    <t xml:space="preserve">H2ST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</si>
  <si>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한국가스기술공사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서부산 수소충전소 운영 현황</t>
    </r>
  </si>
  <si>
    <t xml:space="preserve">https://www.data.go.kr/data/15139929/fileData.do</t>
  </si>
  <si>
    <t xml:space="preserve">H2CAR</t>
  </si>
  <si>
    <r>
      <rPr>
        <sz val="11"/>
        <rFont val="Noto Sans CJK SC"/>
        <family val="2"/>
      </rPr>
      <t xml:space="preserve">한국교통안전공단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수소전기차 등록 현황</t>
    </r>
    <r>
      <rPr>
        <sz val="11"/>
        <rFont val="Arial"/>
        <family val="0"/>
        <charset val="1"/>
      </rPr>
      <t xml:space="preserve">(2024.3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</t>
    </r>
  </si>
  <si>
    <t xml:space="preserve">https://www.data.go.kr/data/15127777/fileData.do</t>
  </si>
  <si>
    <t xml:space="preserve">VISION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</si>
  <si>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신재생에너지 비전과 전략</t>
    </r>
  </si>
  <si>
    <t xml:space="preserve">https://www.busan.go.kr/depart/ecnmcleanenergy02</t>
  </si>
  <si>
    <t xml:space="preserve">STR1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</si>
  <si>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전략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신재생에너지 보급확대</t>
    </r>
  </si>
  <si>
    <t xml:space="preserve">https://www.busan.go.kr/depart/ecnmcleanenergy0302</t>
  </si>
  <si>
    <t xml:space="preserve">STR2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</si>
  <si>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전략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에너지 효율화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수요관리</t>
    </r>
  </si>
  <si>
    <t xml:space="preserve">https://www.busan.go.kr/depart/ecnmcleanenergy0303</t>
  </si>
  <si>
    <t xml:space="preserve">STR3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</si>
  <si>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전략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시민참여형 네트워크 운영</t>
    </r>
  </si>
  <si>
    <t xml:space="preserve">https://www.busan.go.kr/depart/ecnmcleanenergy0305</t>
  </si>
  <si>
    <t xml:space="preserve">H2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</si>
  <si>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수소연료전지 안전성</t>
    </r>
  </si>
  <si>
    <t xml:space="preserve">https://www.busan.go.kr/depart/ecnmcleanenergy04</t>
  </si>
  <si>
    <t xml:space="preserve">MINI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</si>
  <si>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미니태양광 발전설비 보급사업</t>
    </r>
  </si>
  <si>
    <t xml:space="preserve">https://www.busan.go.kr/depart/ecnmcleanenergy0501</t>
  </si>
  <si>
    <t xml:space="preserve">INNOV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</si>
  <si>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클린에너지기술 혁신기업 육성사업</t>
    </r>
  </si>
  <si>
    <t xml:space="preserve">https://www.busan.go.kr/depart/ecnmcleanenergy0502</t>
  </si>
  <si>
    <t xml:space="preserve">DIAG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</si>
  <si>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에너지진단 및 시설개선사업</t>
    </r>
  </si>
  <si>
    <t xml:space="preserve">https://www.busan.go.kr/depart/ecnmcleanenergy0503</t>
  </si>
  <si>
    <t xml:space="preserve">SAVE</t>
  </si>
  <si>
    <r>
      <rPr>
        <sz val="11"/>
        <rFont val="Noto Sans CJK SC"/>
        <family val="2"/>
      </rPr>
      <t xml:space="preserve">부산광역시 누리집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클린에너지 시민 절약 실천사업</t>
    </r>
  </si>
  <si>
    <t xml:space="preserve">https://www.busan.go.kr/depart/ecnmcleanenergy0504</t>
  </si>
  <si>
    <t xml:space="preserve">PLAN7</t>
  </si>
  <si>
    <r>
      <rPr>
        <sz val="11"/>
        <rFont val="Noto Sans CJK SC"/>
        <family val="2"/>
      </rPr>
      <t xml:space="preserve">파이낸셜뉴스</t>
    </r>
    <r>
      <rPr>
        <sz val="11"/>
        <rFont val="Arial"/>
        <family val="0"/>
        <charset val="1"/>
      </rPr>
      <t xml:space="preserve">, 2025.7.29. </t>
    </r>
    <r>
      <rPr>
        <sz val="11"/>
        <rFont val="Noto Sans CJK SC"/>
        <family val="2"/>
      </rPr>
      <t xml:space="preserve">부산시 제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차 지역에너지계획 보도</t>
    </r>
  </si>
  <si>
    <t xml:space="preserve">https://www.fnnews.com/news/202507291824223224</t>
  </si>
  <si>
    <t xml:space="preserve">PLAN7B</t>
  </si>
  <si>
    <r>
      <rPr>
        <sz val="11"/>
        <rFont val="Noto Sans CJK SC"/>
        <family val="2"/>
      </rPr>
      <t xml:space="preserve">트위그뉴스</t>
    </r>
    <r>
      <rPr>
        <sz val="11"/>
        <rFont val="Arial"/>
        <family val="0"/>
        <charset val="1"/>
      </rPr>
      <t xml:space="preserve">, 2025.7.29. </t>
    </r>
    <r>
      <rPr>
        <sz val="11"/>
        <rFont val="Noto Sans CJK SC"/>
        <family val="2"/>
      </rPr>
      <t xml:space="preserve">부산 신재생 에너지 확대 박차</t>
    </r>
  </si>
  <si>
    <t xml:space="preserve">https://www.twig24.com/news/local_bs/2025/07/29/20250729500220</t>
  </si>
  <si>
    <t xml:space="preserve">SEMI</t>
  </si>
  <si>
    <r>
      <rPr>
        <sz val="11"/>
        <rFont val="Noto Sans CJK SC"/>
        <family val="2"/>
      </rPr>
      <t xml:space="preserve">트위그뉴스</t>
    </r>
    <r>
      <rPr>
        <sz val="11"/>
        <rFont val="Arial"/>
        <family val="0"/>
        <charset val="1"/>
      </rPr>
      <t xml:space="preserve">, 2023.7.20. </t>
    </r>
    <r>
      <rPr>
        <sz val="11"/>
        <rFont val="Noto Sans CJK SC"/>
        <family val="2"/>
      </rPr>
      <t xml:space="preserve">부산 소부장 특화단지 지정</t>
    </r>
  </si>
  <si>
    <t xml:space="preserve">https://www.twig24.com/news/local_bs/2023/07/20/20230720500141</t>
  </si>
  <si>
    <t xml:space="preserve">SEMIB</t>
  </si>
  <si>
    <r>
      <rPr>
        <sz val="11"/>
        <rFont val="Noto Sans CJK SC"/>
        <family val="2"/>
      </rPr>
      <t xml:space="preserve">부산광역시 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전력반도체 산업 육성 세부사업별 지출내역</t>
    </r>
  </si>
  <si>
    <t xml:space="preserve">https://www.busan.go.kr/expdetail/view?curPage=230&amp;schDbiz=6260000201830118&amp;schYear=2025</t>
  </si>
  <si>
    <t xml:space="preserve">DER</t>
  </si>
  <si>
    <r>
      <rPr>
        <sz val="11"/>
        <rFont val="Noto Sans CJK SC"/>
        <family val="2"/>
      </rPr>
      <t xml:space="preserve">머니투데이</t>
    </r>
    <r>
      <rPr>
        <sz val="11"/>
        <rFont val="Arial"/>
        <family val="0"/>
        <charset val="1"/>
      </rPr>
      <t xml:space="preserve">, 2025.11.5. </t>
    </r>
    <r>
      <rPr>
        <sz val="11"/>
        <rFont val="Noto Sans CJK SC"/>
        <family val="2"/>
      </rPr>
      <t xml:space="preserve">분산에너지 특화지역 지정</t>
    </r>
  </si>
  <si>
    <t xml:space="preserve">https://www.mt.co.kr/economy/2025/11/05/2025110513243422296</t>
  </si>
  <si>
    <t xml:space="preserve">WIND</t>
  </si>
  <si>
    <r>
      <rPr>
        <sz val="11"/>
        <rFont val="Noto Sans CJK SC"/>
        <family val="2"/>
      </rPr>
      <t xml:space="preserve">노컷뉴스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부산</t>
    </r>
    <r>
      <rPr>
        <sz val="11"/>
        <rFont val="Arial"/>
        <family val="0"/>
        <charset val="1"/>
      </rPr>
      <t xml:space="preserve">CBS), 2021.6.15. </t>
    </r>
    <r>
      <rPr>
        <sz val="11"/>
        <rFont val="Noto Sans CJK SC"/>
        <family val="2"/>
      </rPr>
      <t xml:space="preserve">부산 해상풍력 주민 반대</t>
    </r>
  </si>
  <si>
    <t xml:space="preserve">https://www.nocutnews.co.kr/news/5571361</t>
  </si>
  <si>
    <t xml:space="preserve">ORD</t>
  </si>
  <si>
    <r>
      <rPr>
        <sz val="11"/>
        <rFont val="Noto Sans CJK SC"/>
        <family val="2"/>
      </rPr>
      <t xml:space="preserve">부산광역시 주민참여형 에너지전환 지원 조례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조례 제</t>
    </r>
    <r>
      <rPr>
        <sz val="11"/>
        <rFont val="Arial"/>
        <family val="0"/>
        <charset val="1"/>
      </rPr>
      <t xml:space="preserve">7469</t>
    </r>
    <r>
      <rPr>
        <sz val="11"/>
        <rFont val="Noto Sans CJK SC"/>
        <family val="2"/>
      </rPr>
      <t xml:space="preserve">호</t>
    </r>
    <r>
      <rPr>
        <sz val="11"/>
        <rFont val="Arial"/>
        <family val="0"/>
        <charset val="1"/>
      </rPr>
      <t xml:space="preserve">, 2024.12.25 </t>
    </r>
    <r>
      <rPr>
        <sz val="11"/>
        <rFont val="Noto Sans CJK SC"/>
        <family val="2"/>
      </rPr>
      <t xml:space="preserve">공포</t>
    </r>
    <r>
      <rPr>
        <sz val="11"/>
        <rFont val="Arial"/>
        <family val="0"/>
        <charset val="1"/>
      </rPr>
      <t xml:space="preserve">)</t>
    </r>
  </si>
  <si>
    <t xml:space="preserve">https://www.busan.go.kr/depart/ablatestll/1663057</t>
  </si>
  <si>
    <t xml:space="preserve">YD</t>
  </si>
  <si>
    <r>
      <rPr>
        <sz val="11"/>
        <rFont val="Noto Sans CJK SC"/>
        <family val="2"/>
      </rPr>
      <t xml:space="preserve">영도구 제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차 탄소중립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녹색성장 기본계획</t>
    </r>
    <r>
      <rPr>
        <sz val="11"/>
        <rFont val="Arial"/>
        <family val="0"/>
        <charset val="1"/>
      </rPr>
      <t xml:space="preserve">(2025), </t>
    </r>
    <r>
      <rPr>
        <sz val="11"/>
        <rFont val="Noto Sans CJK SC"/>
        <family val="2"/>
      </rPr>
      <t xml:space="preserve">부록 설문보고서</t>
    </r>
  </si>
  <si>
    <t xml:space="preserve">https://www.pcccr.go.kr/storage/board/base/2025/07/03/BOARD_ATTACH_1751509825278.pdf#page=167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</si>
</sst>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C2D"/>
      <name val="Arial"/>
      <family val="0"/>
      <charset val="1"/>
    </font>
    <font>
      <b val="true"/>
      <sz val="14"/>
      <color rgb="FF173C2D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u val="single"/>
      <sz val="11"/>
      <color rgb="FF168453"/>
      <name val="Noto Sans CJK SC"/>
      <family val="2"/>
    </font>
    <font>
      <sz val="11"/>
      <color rgb="FF0000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color rgb="FF000000"/>
      <name val="Noto Sans CJK SC"/>
      <family val="2"/>
    </font>
    <font>
      <u val="single"/>
      <sz val="11"/>
      <color rgb="FF16845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3EFE6"/>
        <bgColor rgb="FFF7F4EA"/>
      </patternFill>
    </fill>
    <fill>
      <patternFill patternType="solid">
        <fgColor rgb="FFF7F4EA"/>
        <bgColor rgb="FFE3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C"/>
      </left>
      <right style="thin">
        <color rgb="FFC9D6CC"/>
      </right>
      <top style="thin">
        <color rgb="FFC9D6CC"/>
      </top>
      <bottom style="thin">
        <color rgb="FFC9D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4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453"/>
      <rgbColor rgb="FFC9D6CC"/>
      <rgbColor rgb="FF878787"/>
      <rgbColor rgb="FF9999FF"/>
      <rgbColor rgb="FFBE4B48"/>
      <rgbColor rgb="FFFFFFCC"/>
      <rgbColor rgb="FFE3EF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BBB59"/>
      <rgbColor rgb="FF003366"/>
      <rgbColor rgb="FF339966"/>
      <rgbColor rgb="FF003300"/>
      <rgbColor rgb="FF333300"/>
      <rgbColor rgb="FF993300"/>
      <rgbColor rgb="FFC0504D"/>
      <rgbColor rgb="FF333399"/>
      <rgbColor rgb="FF173C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전기를 생산한 신재생에너지원 (2024년, MWh)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'A-1'!B35</c:f>
              <c:strCache>
                <c:ptCount val="1"/>
                <c:pt idx="0">
                  <c:v>생산량(MWh)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'A-1'!$A$36:$A$39</c:f>
              <c:strCache>
                <c:ptCount val="4"/>
                <c:pt idx="0">
                  <c:v>태양광</c:v>
                </c:pt>
                <c:pt idx="1">
                  <c:v>연료전지</c:v>
                </c:pt>
                <c:pt idx="2">
                  <c:v>수력</c:v>
                </c:pt>
                <c:pt idx="3">
                  <c:v>풍력</c:v>
                </c:pt>
              </c:strCache>
            </c:strRef>
          </c:cat>
          <c:val>
            <c:numRef>
              <c:f>'A-1'!$B$36:$B$39</c:f>
              <c:numCache>
                <c:formatCode>#,##0</c:formatCode>
                <c:ptCount val="4"/>
                <c:pt idx="0">
                  <c:v>366024</c:v>
                </c:pt>
                <c:pt idx="1">
                  <c:v>316852</c:v>
                </c:pt>
                <c:pt idx="2">
                  <c:v>127</c:v>
                </c:pt>
                <c:pt idx="3">
                  <c:v>63</c:v>
                </c:pt>
              </c:numCache>
            </c:numRef>
          </c:val>
        </c:ser>
        <c:gapWidth val="150"/>
        <c:overlap val="0"/>
        <c:axId val="52363966"/>
        <c:axId val="26640965"/>
      </c:barChart>
      <c:catAx>
        <c:axId val="52363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40965"/>
        <c:crosses val="autoZero"/>
        <c:auto val="1"/>
        <c:lblAlgn val="ctr"/>
        <c:lblOffset val="100"/>
        <c:noMultiLvlLbl val="0"/>
      </c:catAx>
      <c:valAx>
        <c:axId val="26640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639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신재생 발전량 (GWh)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'A-2'!B9</c:f>
              <c:strCache>
                <c:ptCount val="1"/>
                <c:pt idx="0">
                  <c:v>신재생 발전량(GWh)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'A-2'!$A$10:$A$12</c:f>
              <c:strCache>
                <c:ptCount val="3"/>
                <c:pt idx="0">
                  <c:v>2022년(기준)</c:v>
                </c:pt>
                <c:pt idx="1">
                  <c:v>2030년(목표)</c:v>
                </c:pt>
                <c:pt idx="2">
                  <c:v>2050년(목표)</c:v>
                </c:pt>
              </c:strCache>
            </c:strRef>
          </c:cat>
          <c:val>
            <c:numRef>
              <c:f>'A-2'!$B$10:$B$12</c:f>
              <c:numCache>
                <c:formatCode>#,##0</c:formatCode>
                <c:ptCount val="3"/>
                <c:pt idx="0">
                  <c:v>988</c:v>
                </c:pt>
                <c:pt idx="1">
                  <c:v>4769</c:v>
                </c:pt>
                <c:pt idx="2">
                  <c:v>11936</c:v>
                </c:pt>
              </c:numCache>
            </c:numRef>
          </c:val>
        </c:ser>
        <c:gapWidth val="150"/>
        <c:overlap val="0"/>
        <c:axId val="46052109"/>
        <c:axId val="41217533"/>
      </c:barChart>
      <c:catAx>
        <c:axId val="46052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17533"/>
        <c:crosses val="autoZero"/>
        <c:auto val="1"/>
        <c:lblAlgn val="ctr"/>
        <c:lblOffset val="100"/>
        <c:noMultiLvlLbl val="0"/>
      </c:catAx>
      <c:valAx>
        <c:axId val="41217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521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발전량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'A-3'!D11</c:f>
              <c:strCache>
                <c:ptCount val="1"/>
                <c:pt idx="0">
                  <c:v>2023년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'A-3'!$A$12:$A$23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'A-3'!$D$12:$D$23</c:f>
              <c:numCache>
                <c:formatCode>#,##0</c:formatCode>
                <c:ptCount val="12"/>
                <c:pt idx="0">
                  <c:v>82978</c:v>
                </c:pt>
                <c:pt idx="1">
                  <c:v>73280</c:v>
                </c:pt>
                <c:pt idx="2">
                  <c:v>89613</c:v>
                </c:pt>
                <c:pt idx="3">
                  <c:v>95558</c:v>
                </c:pt>
                <c:pt idx="4">
                  <c:v>100682</c:v>
                </c:pt>
                <c:pt idx="5">
                  <c:v>107343</c:v>
                </c:pt>
                <c:pt idx="6">
                  <c:v>85642</c:v>
                </c:pt>
                <c:pt idx="7">
                  <c:v>96474</c:v>
                </c:pt>
                <c:pt idx="8">
                  <c:v>62060</c:v>
                </c:pt>
                <c:pt idx="9">
                  <c:v>83554</c:v>
                </c:pt>
                <c:pt idx="10">
                  <c:v>79719</c:v>
                </c:pt>
                <c:pt idx="11">
                  <c:v>70035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'A-3'!E11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'A-3'!$A$12:$A$23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'A-3'!$E$12:$E$23</c:f>
              <c:numCache>
                <c:formatCode>#,##0</c:formatCode>
                <c:ptCount val="12"/>
                <c:pt idx="0">
                  <c:v>78222</c:v>
                </c:pt>
                <c:pt idx="1">
                  <c:v>55891</c:v>
                </c:pt>
                <c:pt idx="2">
                  <c:v>90945</c:v>
                </c:pt>
                <c:pt idx="3">
                  <c:v>88324</c:v>
                </c:pt>
                <c:pt idx="4">
                  <c:v>124404</c:v>
                </c:pt>
                <c:pt idx="5">
                  <c:v>102231</c:v>
                </c:pt>
                <c:pt idx="6">
                  <c:v>89199</c:v>
                </c:pt>
                <c:pt idx="7">
                  <c:v>111155</c:v>
                </c:pt>
                <c:pt idx="8">
                  <c:v>82869</c:v>
                </c:pt>
                <c:pt idx="9">
                  <c:v>63793</c:v>
                </c:pt>
                <c:pt idx="10">
                  <c:v>67439</c:v>
                </c:pt>
                <c:pt idx="11">
                  <c:v>81758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'A-3'!F11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'A-3'!$A$12:$A$23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'A-3'!$F$12:$F$23</c:f>
              <c:numCache>
                <c:formatCode>#,##0</c:formatCode>
                <c:ptCount val="12"/>
                <c:pt idx="0">
                  <c:v>83030</c:v>
                </c:pt>
                <c:pt idx="1">
                  <c:v>89412</c:v>
                </c:pt>
                <c:pt idx="2">
                  <c:v>83683</c:v>
                </c:pt>
                <c:pt idx="3">
                  <c:v>103056</c:v>
                </c:pt>
                <c:pt idx="4">
                  <c:v>108942</c:v>
                </c:pt>
                <c:pt idx="5">
                  <c:v>104805</c:v>
                </c:pt>
                <c:pt idx="6">
                  <c:v>124034</c:v>
                </c:pt>
                <c:pt idx="7">
                  <c:v>99838</c:v>
                </c:pt>
                <c:pt idx="8">
                  <c:v>73637</c:v>
                </c:pt>
                <c:pt idx="9">
                  <c:v>62013</c:v>
                </c:pt>
                <c:pt idx="10">
                  <c:v>80021</c:v>
                </c:pt>
                <c:pt idx="11">
                  <c:v>72762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022502"/>
        <c:axId val="44116729"/>
      </c:lineChart>
      <c:catAx>
        <c:axId val="31022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16729"/>
        <c:crosses val="autoZero"/>
        <c:auto val="1"/>
        <c:lblAlgn val="ctr"/>
        <c:lblOffset val="100"/>
        <c:noMultiLvlLbl val="0"/>
      </c:catAx>
      <c:valAx>
        <c:axId val="441167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225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시간대별 평균 발전량 (2025년, 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'A-3'!B30</c:f>
              <c:strCache>
                <c:ptCount val="1"/>
                <c:pt idx="0">
                  <c:v>2025년 1월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'A-3'!$A$31:$A$54</c:f>
              <c:strCache>
                <c:ptCount val="24"/>
                <c:pt idx="0">
                  <c:v>1시</c:v>
                </c:pt>
                <c:pt idx="1">
                  <c:v>2시</c:v>
                </c:pt>
                <c:pt idx="2">
                  <c:v>3시</c:v>
                </c:pt>
                <c:pt idx="3">
                  <c:v>4시</c:v>
                </c:pt>
                <c:pt idx="4">
                  <c:v>5시</c:v>
                </c:pt>
                <c:pt idx="5">
                  <c:v>6시</c:v>
                </c:pt>
                <c:pt idx="6">
                  <c:v>7시</c:v>
                </c:pt>
                <c:pt idx="7">
                  <c:v>8시</c:v>
                </c:pt>
                <c:pt idx="8">
                  <c:v>9시</c:v>
                </c:pt>
                <c:pt idx="9">
                  <c:v>10시</c:v>
                </c:pt>
                <c:pt idx="10">
                  <c:v>11시</c:v>
                </c:pt>
                <c:pt idx="11">
                  <c:v>12시</c:v>
                </c:pt>
                <c:pt idx="12">
                  <c:v>13시</c:v>
                </c:pt>
                <c:pt idx="13">
                  <c:v>14시</c:v>
                </c:pt>
                <c:pt idx="14">
                  <c:v>15시</c:v>
                </c:pt>
                <c:pt idx="15">
                  <c:v>16시</c:v>
                </c:pt>
                <c:pt idx="16">
                  <c:v>17시</c:v>
                </c:pt>
                <c:pt idx="17">
                  <c:v>18시</c:v>
                </c:pt>
                <c:pt idx="18">
                  <c:v>19시</c:v>
                </c:pt>
                <c:pt idx="19">
                  <c:v>20시</c:v>
                </c:pt>
                <c:pt idx="20">
                  <c:v>21시</c:v>
                </c:pt>
                <c:pt idx="21">
                  <c:v>22시</c:v>
                </c:pt>
                <c:pt idx="22">
                  <c:v>23시</c:v>
                </c:pt>
                <c:pt idx="23">
                  <c:v>24시</c:v>
                </c:pt>
              </c:strCache>
            </c:strRef>
          </c:cat>
          <c:val>
            <c:numRef>
              <c:f>'A-3'!$B$31:$B$54</c:f>
              <c:numCache>
                <c:formatCode>#,##0.0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57</c:v>
                </c:pt>
                <c:pt idx="9">
                  <c:v>222</c:v>
                </c:pt>
                <c:pt idx="10">
                  <c:v>374.8</c:v>
                </c:pt>
                <c:pt idx="11">
                  <c:v>464.1</c:v>
                </c:pt>
                <c:pt idx="12">
                  <c:v>477.8</c:v>
                </c:pt>
                <c:pt idx="13">
                  <c:v>441.5</c:v>
                </c:pt>
                <c:pt idx="14">
                  <c:v>377.1</c:v>
                </c:pt>
                <c:pt idx="15">
                  <c:v>202.5</c:v>
                </c:pt>
                <c:pt idx="16">
                  <c:v>57.9</c:v>
                </c:pt>
                <c:pt idx="17">
                  <c:v>3.4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'A-3'!C30</c:f>
              <c:strCache>
                <c:ptCount val="1"/>
                <c:pt idx="0">
                  <c:v>2025년 7월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'A-3'!$A$31:$A$54</c:f>
              <c:strCache>
                <c:ptCount val="24"/>
                <c:pt idx="0">
                  <c:v>1시</c:v>
                </c:pt>
                <c:pt idx="1">
                  <c:v>2시</c:v>
                </c:pt>
                <c:pt idx="2">
                  <c:v>3시</c:v>
                </c:pt>
                <c:pt idx="3">
                  <c:v>4시</c:v>
                </c:pt>
                <c:pt idx="4">
                  <c:v>5시</c:v>
                </c:pt>
                <c:pt idx="5">
                  <c:v>6시</c:v>
                </c:pt>
                <c:pt idx="6">
                  <c:v>7시</c:v>
                </c:pt>
                <c:pt idx="7">
                  <c:v>8시</c:v>
                </c:pt>
                <c:pt idx="8">
                  <c:v>9시</c:v>
                </c:pt>
                <c:pt idx="9">
                  <c:v>10시</c:v>
                </c:pt>
                <c:pt idx="10">
                  <c:v>11시</c:v>
                </c:pt>
                <c:pt idx="11">
                  <c:v>12시</c:v>
                </c:pt>
                <c:pt idx="12">
                  <c:v>13시</c:v>
                </c:pt>
                <c:pt idx="13">
                  <c:v>14시</c:v>
                </c:pt>
                <c:pt idx="14">
                  <c:v>15시</c:v>
                </c:pt>
                <c:pt idx="15">
                  <c:v>16시</c:v>
                </c:pt>
                <c:pt idx="16">
                  <c:v>17시</c:v>
                </c:pt>
                <c:pt idx="17">
                  <c:v>18시</c:v>
                </c:pt>
                <c:pt idx="18">
                  <c:v>19시</c:v>
                </c:pt>
                <c:pt idx="19">
                  <c:v>20시</c:v>
                </c:pt>
                <c:pt idx="20">
                  <c:v>21시</c:v>
                </c:pt>
                <c:pt idx="21">
                  <c:v>22시</c:v>
                </c:pt>
                <c:pt idx="22">
                  <c:v>23시</c:v>
                </c:pt>
                <c:pt idx="23">
                  <c:v>24시</c:v>
                </c:pt>
              </c:strCache>
            </c:strRef>
          </c:cat>
          <c:val>
            <c:numRef>
              <c:f>'A-3'!$C$31:$C$54</c:f>
              <c:numCache>
                <c:formatCode>#,##0.0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31.3</c:v>
                </c:pt>
                <c:pt idx="7">
                  <c:v>130.2</c:v>
                </c:pt>
                <c:pt idx="8">
                  <c:v>222.9</c:v>
                </c:pt>
                <c:pt idx="9">
                  <c:v>353.8</c:v>
                </c:pt>
                <c:pt idx="10">
                  <c:v>448.1</c:v>
                </c:pt>
                <c:pt idx="11">
                  <c:v>519.8</c:v>
                </c:pt>
                <c:pt idx="12">
                  <c:v>543.9</c:v>
                </c:pt>
                <c:pt idx="13">
                  <c:v>515.1</c:v>
                </c:pt>
                <c:pt idx="14">
                  <c:v>470.9</c:v>
                </c:pt>
                <c:pt idx="15">
                  <c:v>367.7</c:v>
                </c:pt>
                <c:pt idx="16">
                  <c:v>227.1</c:v>
                </c:pt>
                <c:pt idx="17">
                  <c:v>127.6</c:v>
                </c:pt>
                <c:pt idx="18">
                  <c:v>40.9</c:v>
                </c:pt>
                <c:pt idx="19">
                  <c:v>1.3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995122"/>
        <c:axId val="162175"/>
      </c:lineChart>
      <c:catAx>
        <c:axId val="50995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175"/>
        <c:crosses val="autoZero"/>
        <c:auto val="1"/>
        <c:lblAlgn val="ctr"/>
        <c:lblOffset val="100"/>
        <c:noMultiLvlLbl val="0"/>
      </c:catAx>
      <c:valAx>
        <c:axId val="162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951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전력 판매량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'B-1'!B7</c:f>
              <c:strCache>
                <c:ptCount val="1"/>
                <c:pt idx="0">
                  <c:v>고압(kWh)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'B-1'!$A$8:$A$19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'B-1'!$B$8:$B$19</c:f>
              <c:numCache>
                <c:formatCode>#,##0</c:formatCode>
                <c:ptCount val="12"/>
                <c:pt idx="0">
                  <c:v>1361391267</c:v>
                </c:pt>
                <c:pt idx="1">
                  <c:v>1330081880</c:v>
                </c:pt>
                <c:pt idx="2">
                  <c:v>1275954471</c:v>
                </c:pt>
                <c:pt idx="3">
                  <c:v>1255492164</c:v>
                </c:pt>
                <c:pt idx="4">
                  <c:v>1196183526</c:v>
                </c:pt>
                <c:pt idx="5">
                  <c:v>1267916346</c:v>
                </c:pt>
                <c:pt idx="6">
                  <c:v>1485107130</c:v>
                </c:pt>
                <c:pt idx="7">
                  <c:v>1594535800</c:v>
                </c:pt>
                <c:pt idx="8">
                  <c:v>1596714320</c:v>
                </c:pt>
                <c:pt idx="9">
                  <c:v>1274725178</c:v>
                </c:pt>
                <c:pt idx="10">
                  <c:v>1231658485</c:v>
                </c:pt>
                <c:pt idx="11">
                  <c:v>1312891989</c:v>
                </c:pt>
              </c:numCache>
            </c:numRef>
          </c:val>
        </c:ser>
        <c:ser>
          <c:idx val="1"/>
          <c:order val="1"/>
          <c:tx>
            <c:strRef>
              <c:f>'B-1'!C7</c:f>
              <c:strCache>
                <c:ptCount val="1"/>
                <c:pt idx="0">
                  <c:v>저압(kWh)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'B-1'!$A$8:$A$19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'B-1'!$C$8:$C$19</c:f>
              <c:numCache>
                <c:formatCode>#,##0</c:formatCode>
                <c:ptCount val="12"/>
                <c:pt idx="0">
                  <c:v>540327538</c:v>
                </c:pt>
                <c:pt idx="1">
                  <c:v>543737339</c:v>
                </c:pt>
                <c:pt idx="2">
                  <c:v>474172634</c:v>
                </c:pt>
                <c:pt idx="3">
                  <c:v>449618001</c:v>
                </c:pt>
                <c:pt idx="4">
                  <c:v>404066498</c:v>
                </c:pt>
                <c:pt idx="5">
                  <c:v>427067453</c:v>
                </c:pt>
                <c:pt idx="6">
                  <c:v>524174509</c:v>
                </c:pt>
                <c:pt idx="7">
                  <c:v>627955869</c:v>
                </c:pt>
                <c:pt idx="8">
                  <c:v>629812724</c:v>
                </c:pt>
                <c:pt idx="9">
                  <c:v>470170128</c:v>
                </c:pt>
                <c:pt idx="10">
                  <c:v>427443747</c:v>
                </c:pt>
                <c:pt idx="11">
                  <c:v>456778072</c:v>
                </c:pt>
              </c:numCache>
            </c:numRef>
          </c:val>
        </c:ser>
        <c:gapWidth val="150"/>
        <c:overlap val="100"/>
        <c:axId val="91712505"/>
        <c:axId val="48989783"/>
      </c:barChart>
      <c:catAx>
        <c:axId val="91712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89783"/>
        <c:crosses val="autoZero"/>
        <c:auto val="1"/>
        <c:lblAlgn val="ctr"/>
        <c:lblOffset val="100"/>
        <c:noMultiLvlLbl val="0"/>
      </c:catAx>
      <c:valAx>
        <c:axId val="48989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125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시청사 월별 전력 사용량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'B-2'!B8</c:f>
              <c:strCache>
                <c:ptCount val="1"/>
                <c:pt idx="0">
                  <c:v>전력(kWh)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'B-2'!$A$9:$A$20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'B-2'!$B$9:$B$20</c:f>
              <c:numCache>
                <c:formatCode>#,##0</c:formatCode>
                <c:ptCount val="12"/>
                <c:pt idx="0">
                  <c:v>1017947</c:v>
                </c:pt>
                <c:pt idx="1">
                  <c:v>893751</c:v>
                </c:pt>
                <c:pt idx="2">
                  <c:v>925138</c:v>
                </c:pt>
                <c:pt idx="3">
                  <c:v>865606</c:v>
                </c:pt>
                <c:pt idx="4">
                  <c:v>929584</c:v>
                </c:pt>
                <c:pt idx="5">
                  <c:v>1115212</c:v>
                </c:pt>
                <c:pt idx="6">
                  <c:v>1361460</c:v>
                </c:pt>
                <c:pt idx="7">
                  <c:v>1445503</c:v>
                </c:pt>
                <c:pt idx="8">
                  <c:v>1259064</c:v>
                </c:pt>
                <c:pt idx="9">
                  <c:v>1007744</c:v>
                </c:pt>
                <c:pt idx="10">
                  <c:v>889789</c:v>
                </c:pt>
                <c:pt idx="11">
                  <c:v>987412</c:v>
                </c:pt>
              </c:numCache>
            </c:numRef>
          </c:val>
        </c:ser>
        <c:gapWidth val="150"/>
        <c:overlap val="0"/>
        <c:axId val="55724807"/>
        <c:axId val="5344591"/>
      </c:barChart>
      <c:catAx>
        <c:axId val="55724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4591"/>
        <c:crosses val="autoZero"/>
        <c:auto val="1"/>
        <c:lblAlgn val="ctr"/>
        <c:lblOffset val="100"/>
        <c:noMultiLvlLbl val="0"/>
      </c:catAx>
      <c:valAx>
        <c:axId val="5344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248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시청사 월별 도시가스 사용량 (㎥)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'B-2'!C8</c:f>
              <c:strCache>
                <c:ptCount val="1"/>
                <c:pt idx="0">
                  <c:v>도시가스(㎥)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'B-2'!$A$9:$A$20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'B-2'!$C$9:$C$20</c:f>
              <c:numCache>
                <c:formatCode>#,##0</c:formatCode>
                <c:ptCount val="12"/>
                <c:pt idx="0">
                  <c:v>34306</c:v>
                </c:pt>
                <c:pt idx="1">
                  <c:v>18324</c:v>
                </c:pt>
                <c:pt idx="2">
                  <c:v>12831</c:v>
                </c:pt>
                <c:pt idx="3">
                  <c:v>8140</c:v>
                </c:pt>
                <c:pt idx="4">
                  <c:v>7408</c:v>
                </c:pt>
                <c:pt idx="5">
                  <c:v>12316</c:v>
                </c:pt>
                <c:pt idx="6">
                  <c:v>26360</c:v>
                </c:pt>
                <c:pt idx="7">
                  <c:v>38962</c:v>
                </c:pt>
                <c:pt idx="8">
                  <c:v>20471</c:v>
                </c:pt>
                <c:pt idx="9">
                  <c:v>6803</c:v>
                </c:pt>
                <c:pt idx="10">
                  <c:v>8339</c:v>
                </c:pt>
                <c:pt idx="11">
                  <c:v>26155</c:v>
                </c:pt>
              </c:numCache>
            </c:numRef>
          </c:val>
        </c:ser>
        <c:gapWidth val="150"/>
        <c:overlap val="0"/>
        <c:axId val="60431234"/>
        <c:axId val="57400850"/>
      </c:barChart>
      <c:catAx>
        <c:axId val="60431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00850"/>
        <c:crosses val="autoZero"/>
        <c:auto val="1"/>
        <c:lblAlgn val="ctr"/>
        <c:lblOffset val="100"/>
        <c:noMultiLvlLbl val="0"/>
      </c:catAx>
      <c:valAx>
        <c:axId val="57400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312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광원 종류별 가로등 수 (개)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'B-3'!B20</c:f>
              <c:strCache>
                <c:ptCount val="1"/>
                <c:pt idx="0">
                  <c:v>수량(개)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'B-3'!$A$21:$A$23</c:f>
              <c:strCache>
                <c:ptCount val="3"/>
                <c:pt idx="0">
                  <c:v>LED등</c:v>
                </c:pt>
                <c:pt idx="1">
                  <c:v>나트륨등</c:v>
                </c:pt>
                <c:pt idx="2">
                  <c:v>일반메탈등</c:v>
                </c:pt>
              </c:strCache>
            </c:strRef>
          </c:cat>
          <c:val>
            <c:numRef>
              <c:f>'B-3'!$B$21:$B$23</c:f>
              <c:numCache>
                <c:formatCode>#,##0</c:formatCode>
                <c:ptCount val="3"/>
                <c:pt idx="0">
                  <c:v>3476</c:v>
                </c:pt>
                <c:pt idx="1">
                  <c:v>635</c:v>
                </c:pt>
                <c:pt idx="2">
                  <c:v>600</c:v>
                </c:pt>
              </c:numCache>
            </c:numRef>
          </c:val>
        </c:ser>
        <c:gapWidth val="150"/>
        <c:overlap val="0"/>
        <c:axId val="80396765"/>
        <c:axId val="43584939"/>
      </c:barChart>
      <c:catAx>
        <c:axId val="80396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84939"/>
        <c:crosses val="autoZero"/>
        <c:auto val="1"/>
        <c:lblAlgn val="ctr"/>
        <c:lblOffset val="100"/>
        <c:noMultiLvlLbl val="0"/>
      </c:catAx>
      <c:valAx>
        <c:axId val="43584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967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클린에너지 혁신기업 수 (부산시 계획, 개사)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'C-1'!B8</c:f>
              <c:strCache>
                <c:ptCount val="1"/>
                <c:pt idx="0">
                  <c:v>기업 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'C-1'!$A$9:$A$11</c:f>
              <c:strCache>
                <c:ptCount val="3"/>
                <c:pt idx="0">
                  <c:v>2022년</c:v>
                </c:pt>
                <c:pt idx="1">
                  <c:v>2030년(목표)</c:v>
                </c:pt>
                <c:pt idx="2">
                  <c:v>2050년(목표)</c:v>
                </c:pt>
              </c:strCache>
            </c:strRef>
          </c:cat>
          <c:val>
            <c:numRef>
              <c:f>'C-1'!$B$9:$B$11</c:f>
              <c:numCache>
                <c:formatCode>#,##0</c:formatCode>
                <c:ptCount val="3"/>
                <c:pt idx="0">
                  <c:v>50</c:v>
                </c:pt>
                <c:pt idx="1">
                  <c:v>130</c:v>
                </c:pt>
                <c:pt idx="2">
                  <c:v>300</c:v>
                </c:pt>
              </c:numCache>
            </c:numRef>
          </c:val>
        </c:ser>
        <c:gapWidth val="150"/>
        <c:overlap val="0"/>
        <c:axId val="69530444"/>
        <c:axId val="37512359"/>
      </c:barChart>
      <c:catAx>
        <c:axId val="695304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12359"/>
        <c:crosses val="autoZero"/>
        <c:auto val="1"/>
        <c:lblAlgn val="ctr"/>
        <c:lblOffset val="100"/>
        <c:noMultiLvlLbl val="0"/>
      </c:catAx>
      <c:valAx>
        <c:axId val="37512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개사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304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서부산 수소충전소 월별 충전량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'C-3'!C9</c:f>
              <c:strCache>
                <c:ptCount val="1"/>
                <c:pt idx="0">
                  <c:v>충전량(kg)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'C-3'!$A$10:$A$21</c:f>
              <c:strCache>
                <c:ptCount val="12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</c:strCache>
            </c:strRef>
          </c:cat>
          <c:val>
            <c:numRef>
              <c:f>'C-3'!$C$10:$C$21</c:f>
              <c:numCache>
                <c:formatCode>#,##0</c:formatCode>
                <c:ptCount val="12"/>
                <c:pt idx="0">
                  <c:v>157</c:v>
                </c:pt>
                <c:pt idx="1">
                  <c:v>595</c:v>
                </c:pt>
                <c:pt idx="2">
                  <c:v>288</c:v>
                </c:pt>
                <c:pt idx="3">
                  <c:v>269</c:v>
                </c:pt>
                <c:pt idx="4">
                  <c:v>382</c:v>
                </c:pt>
                <c:pt idx="5">
                  <c:v>684</c:v>
                </c:pt>
                <c:pt idx="6">
                  <c:v>488</c:v>
                </c:pt>
                <c:pt idx="7">
                  <c:v>607</c:v>
                </c:pt>
                <c:pt idx="8">
                  <c:v>2529</c:v>
                </c:pt>
                <c:pt idx="9">
                  <c:v>5734</c:v>
                </c:pt>
                <c:pt idx="10">
                  <c:v>7837</c:v>
                </c:pt>
                <c:pt idx="11">
                  <c:v>9624</c:v>
                </c:pt>
              </c:numCache>
            </c:numRef>
          </c:val>
        </c:ser>
        <c:gapWidth val="150"/>
        <c:overlap val="0"/>
        <c:axId val="58003032"/>
        <c:axId val="76836799"/>
      </c:barChart>
      <c:catAx>
        <c:axId val="5800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36799"/>
        <c:crosses val="autoZero"/>
        <c:auto val="1"/>
        <c:lblAlgn val="ctr"/>
        <c:lblOffset val="100"/>
        <c:noMultiLvlLbl val="0"/>
      </c:catAx>
      <c:valAx>
        <c:axId val="76836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03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참여 의향 응답 비율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'D-2'!B7</c:f>
              <c:strCache>
                <c:ptCount val="1"/>
                <c:pt idx="0">
                  <c:v>비율(%)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'D-2'!$A$8:$A$9</c:f>
              <c:strCache>
                <c:ptCount val="2"/>
                <c:pt idx="0">
                  <c:v>참여할 의향 있음</c:v>
                </c:pt>
                <c:pt idx="1">
                  <c:v>적극 참여할 의향 있음</c:v>
                </c:pt>
              </c:strCache>
            </c:strRef>
          </c:cat>
          <c:val>
            <c:numRef>
              <c:f>'D-2'!$B$8:$B$9</c:f>
              <c:numCache>
                <c:formatCode>0.0</c:formatCode>
                <c:ptCount val="2"/>
                <c:pt idx="0">
                  <c:v>56.8</c:v>
                </c:pt>
                <c:pt idx="1">
                  <c:v>24.2</c:v>
                </c:pt>
              </c:numCache>
            </c:numRef>
          </c:val>
        </c:ser>
        <c:gapWidth val="150"/>
        <c:overlap val="0"/>
        <c:axId val="95491096"/>
        <c:axId val="56310653"/>
      </c:barChart>
      <c:catAx>
        <c:axId val="9549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10653"/>
        <c:crosses val="autoZero"/>
        <c:auto val="1"/>
        <c:lblAlgn val="ctr"/>
        <c:lblOffset val="100"/>
        <c:noMultiLvlLbl val="0"/>
      </c:catAx>
      <c:valAx>
        <c:axId val="56310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910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기간별 재정투자계획 (억 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'P-1'!B7</c:f>
              <c:strCache>
                <c:ptCount val="1"/>
                <c:pt idx="0">
                  <c:v>국비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'P-1'!$A$8:$A$10</c:f>
              <c:strCache>
                <c:ptCount val="3"/>
                <c:pt idx="0">
                  <c:v>민선7기(2019~2022)</c:v>
                </c:pt>
                <c:pt idx="1">
                  <c:v>중기(2023~2030)</c:v>
                </c:pt>
                <c:pt idx="2">
                  <c:v>장기(2031~2050)</c:v>
                </c:pt>
              </c:strCache>
            </c:strRef>
          </c:cat>
          <c:val>
            <c:numRef>
              <c:f>'P-1'!$B$8:$B$10</c:f>
              <c:numCache>
                <c:formatCode>#,##0</c:formatCode>
                <c:ptCount val="3"/>
                <c:pt idx="0">
                  <c:v>564</c:v>
                </c:pt>
                <c:pt idx="1">
                  <c:v>7658</c:v>
                </c:pt>
                <c:pt idx="2">
                  <c:v>27568</c:v>
                </c:pt>
              </c:numCache>
            </c:numRef>
          </c:val>
        </c:ser>
        <c:ser>
          <c:idx val="1"/>
          <c:order val="1"/>
          <c:tx>
            <c:strRef>
              <c:f>'P-1'!C7</c:f>
              <c:strCache>
                <c:ptCount val="1"/>
                <c:pt idx="0">
                  <c:v>시비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'P-1'!$A$8:$A$10</c:f>
              <c:strCache>
                <c:ptCount val="3"/>
                <c:pt idx="0">
                  <c:v>민선7기(2019~2022)</c:v>
                </c:pt>
                <c:pt idx="1">
                  <c:v>중기(2023~2030)</c:v>
                </c:pt>
                <c:pt idx="2">
                  <c:v>장기(2031~2050)</c:v>
                </c:pt>
              </c:strCache>
            </c:strRef>
          </c:cat>
          <c:val>
            <c:numRef>
              <c:f>'P-1'!$C$8:$C$10</c:f>
              <c:numCache>
                <c:formatCode>#,##0</c:formatCode>
                <c:ptCount val="3"/>
                <c:pt idx="0">
                  <c:v>446</c:v>
                </c:pt>
                <c:pt idx="1">
                  <c:v>4054</c:v>
                </c:pt>
                <c:pt idx="2">
                  <c:v>16533</c:v>
                </c:pt>
              </c:numCache>
            </c:numRef>
          </c:val>
        </c:ser>
        <c:ser>
          <c:idx val="2"/>
          <c:order val="2"/>
          <c:tx>
            <c:strRef>
              <c:f>'P-1'!D7</c:f>
              <c:strCache>
                <c:ptCount val="1"/>
                <c:pt idx="0">
                  <c:v>민자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'P-1'!$A$8:$A$10</c:f>
              <c:strCache>
                <c:ptCount val="3"/>
                <c:pt idx="0">
                  <c:v>민선7기(2019~2022)</c:v>
                </c:pt>
                <c:pt idx="1">
                  <c:v>중기(2023~2030)</c:v>
                </c:pt>
                <c:pt idx="2">
                  <c:v>장기(2031~2050)</c:v>
                </c:pt>
              </c:strCache>
            </c:strRef>
          </c:cat>
          <c:val>
            <c:numRef>
              <c:f>'P-1'!$D$8:$D$10</c:f>
              <c:numCache>
                <c:formatCode>#,##0</c:formatCode>
                <c:ptCount val="3"/>
                <c:pt idx="0">
                  <c:v>5702</c:v>
                </c:pt>
                <c:pt idx="1">
                  <c:v>33112</c:v>
                </c:pt>
                <c:pt idx="2">
                  <c:v>84834</c:v>
                </c:pt>
              </c:numCache>
            </c:numRef>
          </c:val>
        </c:ser>
        <c:gapWidth val="150"/>
        <c:overlap val="100"/>
        <c:axId val="21982478"/>
        <c:axId val="47850040"/>
      </c:barChart>
      <c:catAx>
        <c:axId val="21982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50040"/>
        <c:crosses val="autoZero"/>
        <c:auto val="1"/>
        <c:lblAlgn val="ctr"/>
        <c:lblOffset val="100"/>
        <c:noMultiLvlLbl val="0"/>
      </c:catAx>
      <c:valAx>
        <c:axId val="47850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억 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824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16560</xdr:rowOff>
    </xdr:from>
    <xdr:to>
      <xdr:col>19</xdr:col>
      <xdr:colOff>364680</xdr:colOff>
      <xdr:row>18</xdr:row>
      <xdr:rowOff>10800</xdr:rowOff>
    </xdr:to>
    <xdr:graphicFrame>
      <xdr:nvGraphicFramePr>
        <xdr:cNvPr id="0" name="Chart 1"/>
        <xdr:cNvGraphicFramePr/>
      </xdr:nvGraphicFramePr>
      <xdr:xfrm>
        <a:off x="7941960" y="1143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207000</xdr:rowOff>
    </xdr:from>
    <xdr:to>
      <xdr:col>17</xdr:col>
      <xdr:colOff>147600</xdr:colOff>
      <xdr:row>15</xdr:row>
      <xdr:rowOff>437400</xdr:rowOff>
    </xdr:to>
    <xdr:graphicFrame>
      <xdr:nvGraphicFramePr>
        <xdr:cNvPr id="1" name="Chart 1"/>
        <xdr:cNvGraphicFramePr/>
      </xdr:nvGraphicFramePr>
      <xdr:xfrm>
        <a:off x="7800840" y="1523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7</xdr:row>
      <xdr:rowOff>180000</xdr:rowOff>
    </xdr:from>
    <xdr:to>
      <xdr:col>19</xdr:col>
      <xdr:colOff>364680</xdr:colOff>
      <xdr:row>21</xdr:row>
      <xdr:rowOff>37440</xdr:rowOff>
    </xdr:to>
    <xdr:graphicFrame>
      <xdr:nvGraphicFramePr>
        <xdr:cNvPr id="2" name="Chart 1"/>
        <xdr:cNvGraphicFramePr/>
      </xdr:nvGraphicFramePr>
      <xdr:xfrm>
        <a:off x="7518960" y="1905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123840</xdr:rowOff>
    </xdr:from>
    <xdr:to>
      <xdr:col>19</xdr:col>
      <xdr:colOff>364680</xdr:colOff>
      <xdr:row>38</xdr:row>
      <xdr:rowOff>36000</xdr:rowOff>
    </xdr:to>
    <xdr:graphicFrame>
      <xdr:nvGraphicFramePr>
        <xdr:cNvPr id="3" name="Chart 2"/>
        <xdr:cNvGraphicFramePr/>
      </xdr:nvGraphicFramePr>
      <xdr:xfrm>
        <a:off x="7518960" y="5524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16560</xdr:rowOff>
    </xdr:from>
    <xdr:to>
      <xdr:col>19</xdr:col>
      <xdr:colOff>364680</xdr:colOff>
      <xdr:row>17</xdr:row>
      <xdr:rowOff>92160</xdr:rowOff>
    </xdr:to>
    <xdr:graphicFrame>
      <xdr:nvGraphicFramePr>
        <xdr:cNvPr id="4" name="Chart 1"/>
        <xdr:cNvGraphicFramePr/>
      </xdr:nvGraphicFramePr>
      <xdr:xfrm>
        <a:off x="8364960" y="1143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207000</xdr:rowOff>
    </xdr:from>
    <xdr:to>
      <xdr:col>17</xdr:col>
      <xdr:colOff>507600</xdr:colOff>
      <xdr:row>18</xdr:row>
      <xdr:rowOff>64800</xdr:rowOff>
    </xdr:to>
    <xdr:graphicFrame>
      <xdr:nvGraphicFramePr>
        <xdr:cNvPr id="5" name="Chart 1"/>
        <xdr:cNvGraphicFramePr/>
      </xdr:nvGraphicFramePr>
      <xdr:xfrm>
        <a:off x="7518960" y="1333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178200</xdr:rowOff>
    </xdr:from>
    <xdr:to>
      <xdr:col>17</xdr:col>
      <xdr:colOff>507600</xdr:colOff>
      <xdr:row>33</xdr:row>
      <xdr:rowOff>10080</xdr:rowOff>
    </xdr:to>
    <xdr:graphicFrame>
      <xdr:nvGraphicFramePr>
        <xdr:cNvPr id="6" name="Chart 2"/>
        <xdr:cNvGraphicFramePr/>
      </xdr:nvGraphicFramePr>
      <xdr:xfrm>
        <a:off x="7518960" y="4952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16560</xdr:rowOff>
    </xdr:from>
    <xdr:to>
      <xdr:col>17</xdr:col>
      <xdr:colOff>147600</xdr:colOff>
      <xdr:row>17</xdr:row>
      <xdr:rowOff>92160</xdr:rowOff>
    </xdr:to>
    <xdr:graphicFrame>
      <xdr:nvGraphicFramePr>
        <xdr:cNvPr id="7" name="Chart 1"/>
        <xdr:cNvGraphicFramePr/>
      </xdr:nvGraphicFramePr>
      <xdr:xfrm>
        <a:off x="7237080" y="1143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187920</xdr:rowOff>
    </xdr:from>
    <xdr:to>
      <xdr:col>16</xdr:col>
      <xdr:colOff>399240</xdr:colOff>
      <xdr:row>16</xdr:row>
      <xdr:rowOff>29160</xdr:rowOff>
    </xdr:to>
    <xdr:graphicFrame>
      <xdr:nvGraphicFramePr>
        <xdr:cNvPr id="8" name="Chart 1"/>
        <xdr:cNvGraphicFramePr/>
      </xdr:nvGraphicFramePr>
      <xdr:xfrm>
        <a:off x="11043360" y="1333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179640</xdr:rowOff>
    </xdr:from>
    <xdr:to>
      <xdr:col>19</xdr:col>
      <xdr:colOff>364680</xdr:colOff>
      <xdr:row>20</xdr:row>
      <xdr:rowOff>119880</xdr:rowOff>
    </xdr:to>
    <xdr:graphicFrame>
      <xdr:nvGraphicFramePr>
        <xdr:cNvPr id="9" name="Chart 1"/>
        <xdr:cNvGraphicFramePr/>
      </xdr:nvGraphicFramePr>
      <xdr:xfrm>
        <a:off x="7941960" y="1523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24840</xdr:rowOff>
    </xdr:from>
    <xdr:to>
      <xdr:col>16</xdr:col>
      <xdr:colOff>399240</xdr:colOff>
      <xdr:row>18</xdr:row>
      <xdr:rowOff>40680</xdr:rowOff>
    </xdr:to>
    <xdr:graphicFrame>
      <xdr:nvGraphicFramePr>
        <xdr:cNvPr id="10" name="Chart 1"/>
        <xdr:cNvGraphicFramePr/>
      </xdr:nvGraphicFramePr>
      <xdr:xfrm>
        <a:off x="11043360" y="1143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16560</xdr:rowOff>
    </xdr:from>
    <xdr:to>
      <xdr:col>17</xdr:col>
      <xdr:colOff>507600</xdr:colOff>
      <xdr:row>18</xdr:row>
      <xdr:rowOff>92520</xdr:rowOff>
    </xdr:to>
    <xdr:graphicFrame>
      <xdr:nvGraphicFramePr>
        <xdr:cNvPr id="11" name="Chart 1"/>
        <xdr:cNvGraphicFramePr/>
      </xdr:nvGraphicFramePr>
      <xdr:xfrm>
        <a:off x="6673320" y="1143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ata.go.kr/data/3075983/fileData.do" TargetMode="External"/><Relationship Id="rId2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ecnmcleanenergy02" TargetMode="External"/><Relationship Id="rId2" Type="http://schemas.openxmlformats.org/officeDocument/2006/relationships/hyperlink" Target="https://www.fnnews.com/news/202507291824223224" TargetMode="External"/><Relationship Id="rId3" Type="http://schemas.openxmlformats.org/officeDocument/2006/relationships/hyperlink" Target="https://www.twig24.com/news/local_bs/2025/07/29/20250729500220" TargetMode="External"/><Relationship Id="rId4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095380/fileData.do" TargetMode="External"/><Relationship Id="rId2" Type="http://schemas.openxmlformats.org/officeDocument/2006/relationships/hyperlink" Target="https://www.data.go.kr/data/15030079/fileData.do" TargetMode="External"/><Relationship Id="rId3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nocutnews.co.kr/news/5571361" TargetMode="External"/><Relationship Id="rId2" Type="http://schemas.openxmlformats.org/officeDocument/2006/relationships/hyperlink" Target="https://www.busan.go.kr/depart/ecnmcleanenergy04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119478/fileData.do" TargetMode="External"/><Relationship Id="rId2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data.go.kr/data/3067482/fileData.do" TargetMode="External"/><Relationship Id="rId2" Type="http://schemas.openxmlformats.org/officeDocument/2006/relationships/hyperlink" Target="https://www.busan.go.kr/depart/ecnmcleanenergy0303" TargetMode="External"/><Relationship Id="rId3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161300/fileData.do" TargetMode="External"/><Relationship Id="rId2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ecnmcleanenergy02" TargetMode="External"/><Relationship Id="rId2" Type="http://schemas.openxmlformats.org/officeDocument/2006/relationships/hyperlink" Target="https://www.busan.go.kr/depart/ecnmcleanenergy0303" TargetMode="External"/><Relationship Id="rId3" Type="http://schemas.openxmlformats.org/officeDocument/2006/relationships/hyperlink" Target="https://www.busan.go.kr/depart/ecnmcleanenergy0503" TargetMode="External"/><Relationship Id="rId4" Type="http://schemas.openxmlformats.org/officeDocument/2006/relationships/hyperlink" Target="https://www.twig24.com/news/local_bs/2025/07/29/20250729500220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ecnmcleanenergy02" TargetMode="External"/><Relationship Id="rId2" Type="http://schemas.openxmlformats.org/officeDocument/2006/relationships/hyperlink" Target="https://www.busan.go.kr/depart/ecnmcleanenergy0502" TargetMode="External"/><Relationship Id="rId3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twig24.com/news/local_bs/2023/07/20/20230720500141" TargetMode="External"/><Relationship Id="rId2" Type="http://schemas.openxmlformats.org/officeDocument/2006/relationships/hyperlink" Target="https://www.busan.go.kr/expdetail/view?curPage=230&amp;schDbiz=6260000201830118&amp;schYear=2025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139929/fileData.do" TargetMode="External"/><Relationship Id="rId2" Type="http://schemas.openxmlformats.org/officeDocument/2006/relationships/hyperlink" Target="https://www.data.go.kr/data/15127777/fileData.do" TargetMode="External"/><Relationship Id="rId3" Type="http://schemas.openxmlformats.org/officeDocument/2006/relationships/hyperlink" Target="https://www.busan.go.kr/depart/ecnmcleanenergy04" TargetMode="External"/><Relationship Id="rId4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mt.co.kr/economy/2025/11/05/2025110513243422296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ecnmcleanenergy02" TargetMode="External"/><Relationship Id="rId2" Type="http://schemas.openxmlformats.org/officeDocument/2006/relationships/hyperlink" Target="https://www.busan.go.kr/depart/ecnmcleanenergy0305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ww.pcccr.go.kr/storage/board/base/2025/07/03/BOARD_ATTACH_1751509825278.pdf" TargetMode="External"/><Relationship Id="rId2" Type="http://schemas.openxmlformats.org/officeDocument/2006/relationships/drawing" Target="../drawings/drawing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ablatestll/1663057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ecnmcleanenergy0302" TargetMode="External"/><Relationship Id="rId2" Type="http://schemas.openxmlformats.org/officeDocument/2006/relationships/hyperlink" Target="https://www.busan.go.kr/depart/ecnmcleanenergy0501" TargetMode="External"/><Relationship Id="rId3" Type="http://schemas.openxmlformats.org/officeDocument/2006/relationships/hyperlink" Target="https://www.busan.go.kr/depart/ecnmcleanenergy0504" TargetMode="External"/><Relationship Id="rId4" Type="http://schemas.openxmlformats.org/officeDocument/2006/relationships/hyperlink" Target="https://www.busan.go.kr/depart/ecnmcleanenergy0305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s://www.busan.go.kr/depart/ecnmcleanenergy02" TargetMode="External"/><Relationship Id="rId2" Type="http://schemas.openxmlformats.org/officeDocument/2006/relationships/drawing" Target="../drawings/drawing1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s://www.data.go.kr/data/3075983/fileData.do" TargetMode="External"/><Relationship Id="rId2" Type="http://schemas.openxmlformats.org/officeDocument/2006/relationships/hyperlink" Target="https://www.data.go.kr/data/15095380/fileData.do" TargetMode="External"/><Relationship Id="rId3" Type="http://schemas.openxmlformats.org/officeDocument/2006/relationships/hyperlink" Target="https://www.data.go.kr/data/15030079/fileData.do" TargetMode="External"/><Relationship Id="rId4" Type="http://schemas.openxmlformats.org/officeDocument/2006/relationships/hyperlink" Target="https://www.data.go.kr/data/15119478/fileData.do" TargetMode="External"/><Relationship Id="rId5" Type="http://schemas.openxmlformats.org/officeDocument/2006/relationships/hyperlink" Target="https://www.data.go.kr/data/3067482/fileData.do" TargetMode="External"/><Relationship Id="rId6" Type="http://schemas.openxmlformats.org/officeDocument/2006/relationships/hyperlink" Target="https://www.data.go.kr/data/15161300/fileData.do" TargetMode="External"/><Relationship Id="rId7" Type="http://schemas.openxmlformats.org/officeDocument/2006/relationships/hyperlink" Target="https://www.data.go.kr/data/15139929/fileData.do" TargetMode="External"/><Relationship Id="rId8" Type="http://schemas.openxmlformats.org/officeDocument/2006/relationships/hyperlink" Target="https://www.data.go.kr/data/15127777/fileData.do" TargetMode="External"/><Relationship Id="rId9" Type="http://schemas.openxmlformats.org/officeDocument/2006/relationships/hyperlink" Target="https://www.busan.go.kr/depart/ecnmcleanenergy02" TargetMode="External"/><Relationship Id="rId10" Type="http://schemas.openxmlformats.org/officeDocument/2006/relationships/hyperlink" Target="https://www.busan.go.kr/depart/ecnmcleanenergy0302" TargetMode="External"/><Relationship Id="rId11" Type="http://schemas.openxmlformats.org/officeDocument/2006/relationships/hyperlink" Target="https://www.busan.go.kr/depart/ecnmcleanenergy0303" TargetMode="External"/><Relationship Id="rId12" Type="http://schemas.openxmlformats.org/officeDocument/2006/relationships/hyperlink" Target="https://www.busan.go.kr/depart/ecnmcleanenergy0305" TargetMode="External"/><Relationship Id="rId13" Type="http://schemas.openxmlformats.org/officeDocument/2006/relationships/hyperlink" Target="https://www.busan.go.kr/depart/ecnmcleanenergy04" TargetMode="External"/><Relationship Id="rId14" Type="http://schemas.openxmlformats.org/officeDocument/2006/relationships/hyperlink" Target="https://www.busan.go.kr/depart/ecnmcleanenergy0501" TargetMode="External"/><Relationship Id="rId15" Type="http://schemas.openxmlformats.org/officeDocument/2006/relationships/hyperlink" Target="https://www.busan.go.kr/depart/ecnmcleanenergy0502" TargetMode="External"/><Relationship Id="rId16" Type="http://schemas.openxmlformats.org/officeDocument/2006/relationships/hyperlink" Target="https://www.busan.go.kr/depart/ecnmcleanenergy0503" TargetMode="External"/><Relationship Id="rId17" Type="http://schemas.openxmlformats.org/officeDocument/2006/relationships/hyperlink" Target="https://www.busan.go.kr/depart/ecnmcleanenergy0504" TargetMode="External"/><Relationship Id="rId18" Type="http://schemas.openxmlformats.org/officeDocument/2006/relationships/hyperlink" Target="https://www.fnnews.com/news/202507291824223224" TargetMode="External"/><Relationship Id="rId19" Type="http://schemas.openxmlformats.org/officeDocument/2006/relationships/hyperlink" Target="https://www.twig24.com/news/local_bs/2025/07/29/20250729500220" TargetMode="External"/><Relationship Id="rId20" Type="http://schemas.openxmlformats.org/officeDocument/2006/relationships/hyperlink" Target="https://www.twig24.com/news/local_bs/2023/07/20/20230720500141" TargetMode="External"/><Relationship Id="rId21" Type="http://schemas.openxmlformats.org/officeDocument/2006/relationships/hyperlink" Target="https://www.busan.go.kr/expdetail/view?curPage=230&amp;schDbiz=6260000201830118&amp;schYear=2025" TargetMode="External"/><Relationship Id="rId22" Type="http://schemas.openxmlformats.org/officeDocument/2006/relationships/hyperlink" Target="https://www.mt.co.kr/economy/2025/11/05/2025110513243422296" TargetMode="External"/><Relationship Id="rId23" Type="http://schemas.openxmlformats.org/officeDocument/2006/relationships/hyperlink" Target="https://www.nocutnews.co.kr/news/5571361" TargetMode="External"/><Relationship Id="rId24" Type="http://schemas.openxmlformats.org/officeDocument/2006/relationships/hyperlink" Target="https://www.busan.go.kr/depart/ablatestll/1663057" TargetMode="External"/><Relationship Id="rId25" Type="http://schemas.openxmlformats.org/officeDocument/2006/relationships/hyperlink" Target="https://www.pcccr.go.kr/storage/board/base/2025/07/03/BOARD_ATTACH_1751509825278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6" min="3" style="0" width="10"/>
  </cols>
  <sheetData>
    <row r="1" customFormat="false" ht="21.6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31.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31.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31.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31.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31.5" hidden="false" customHeight="true" outlineLevel="0" collapsed="false">
      <c r="A8" s="2" t="s">
        <v>6</v>
      </c>
      <c r="B8" s="2"/>
      <c r="C8" s="2"/>
      <c r="D8" s="2"/>
      <c r="E8" s="2"/>
      <c r="F8" s="2"/>
    </row>
    <row r="10" customFormat="false" ht="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4" t="s">
        <v>8</v>
      </c>
      <c r="B11" s="5" t="s">
        <v>9</v>
      </c>
    </row>
    <row r="12" customFormat="false" ht="17.15" hidden="false" customHeight="false" outlineLevel="0" collapsed="false">
      <c r="A12" s="6" t="s">
        <v>10</v>
      </c>
      <c r="B12" s="5" t="s">
        <v>11</v>
      </c>
    </row>
    <row r="13" customFormat="false" ht="17.15" hidden="false" customHeight="false" outlineLevel="0" collapsed="false">
      <c r="A13" s="6" t="s">
        <v>12</v>
      </c>
      <c r="B13" s="5" t="s">
        <v>13</v>
      </c>
    </row>
    <row r="14" customFormat="false" ht="17.15" hidden="false" customHeight="false" outlineLevel="0" collapsed="false">
      <c r="A14" s="6" t="s">
        <v>14</v>
      </c>
      <c r="B14" s="5" t="s">
        <v>15</v>
      </c>
    </row>
    <row r="15" customFormat="false" ht="17.15" hidden="false" customHeight="false" outlineLevel="0" collapsed="false">
      <c r="A15" s="6" t="s">
        <v>16</v>
      </c>
      <c r="B15" s="5" t="s">
        <v>17</v>
      </c>
    </row>
    <row r="16" customFormat="false" ht="17.15" hidden="false" customHeight="false" outlineLevel="0" collapsed="false">
      <c r="A16" s="6" t="s">
        <v>18</v>
      </c>
      <c r="B16" s="5" t="s">
        <v>19</v>
      </c>
    </row>
    <row r="17" customFormat="false" ht="17.15" hidden="false" customHeight="false" outlineLevel="0" collapsed="false">
      <c r="A17" s="6" t="s">
        <v>20</v>
      </c>
      <c r="B17" s="5" t="s">
        <v>21</v>
      </c>
    </row>
    <row r="18" customFormat="false" ht="17.15" hidden="false" customHeight="false" outlineLevel="0" collapsed="false">
      <c r="A18" s="6" t="s">
        <v>22</v>
      </c>
      <c r="B18" s="5" t="s">
        <v>23</v>
      </c>
    </row>
    <row r="19" customFormat="false" ht="17.15" hidden="false" customHeight="false" outlineLevel="0" collapsed="false">
      <c r="A19" s="6" t="s">
        <v>24</v>
      </c>
      <c r="B19" s="5" t="s">
        <v>25</v>
      </c>
    </row>
    <row r="20" customFormat="false" ht="17.15" hidden="false" customHeight="false" outlineLevel="0" collapsed="false">
      <c r="A20" s="6" t="s">
        <v>26</v>
      </c>
      <c r="B20" s="5" t="s">
        <v>27</v>
      </c>
    </row>
    <row r="21" customFormat="false" ht="17.15" hidden="false" customHeight="false" outlineLevel="0" collapsed="false">
      <c r="A21" s="6" t="s">
        <v>28</v>
      </c>
      <c r="B21" s="5" t="s">
        <v>29</v>
      </c>
    </row>
    <row r="22" customFormat="false" ht="17.15" hidden="false" customHeight="false" outlineLevel="0" collapsed="false">
      <c r="A22" s="6" t="s">
        <v>30</v>
      </c>
      <c r="B22" s="5" t="s">
        <v>31</v>
      </c>
    </row>
    <row r="23" customFormat="false" ht="17.15" hidden="false" customHeight="false" outlineLevel="0" collapsed="false">
      <c r="A23" s="6" t="s">
        <v>32</v>
      </c>
      <c r="B23" s="5" t="s">
        <v>33</v>
      </c>
    </row>
    <row r="24" customFormat="false" ht="17.15" hidden="false" customHeight="false" outlineLevel="0" collapsed="false">
      <c r="A24" s="6" t="s">
        <v>34</v>
      </c>
      <c r="B24" s="5" t="s">
        <v>35</v>
      </c>
    </row>
    <row r="25" customFormat="false" ht="17.15" hidden="false" customHeight="false" outlineLevel="0" collapsed="false">
      <c r="A25" s="6" t="s">
        <v>36</v>
      </c>
      <c r="B25" s="5" t="s">
        <v>37</v>
      </c>
    </row>
    <row r="26" customFormat="false" ht="17.15" hidden="false" customHeight="false" outlineLevel="0" collapsed="false">
      <c r="A26" s="6" t="s">
        <v>38</v>
      </c>
      <c r="B26" s="5" t="s">
        <v>39</v>
      </c>
    </row>
    <row r="27" customFormat="false" ht="17.15" hidden="false" customHeight="false" outlineLevel="0" collapsed="false">
      <c r="A27" s="6" t="s">
        <v>40</v>
      </c>
      <c r="B27" s="5" t="s">
        <v>41</v>
      </c>
    </row>
    <row r="28" customFormat="false" ht="17.15" hidden="false" customHeight="false" outlineLevel="0" collapsed="false">
      <c r="A28" s="6" t="s">
        <v>42</v>
      </c>
      <c r="B28" s="5" t="s">
        <v>43</v>
      </c>
    </row>
    <row r="29" customFormat="false" ht="15" hidden="false" customHeight="false" outlineLevel="0" collapsed="false">
      <c r="A29" s="4" t="s">
        <v>44</v>
      </c>
      <c r="B29" s="7" t="s">
        <v>45</v>
      </c>
    </row>
  </sheetData>
  <mergeCells count="6">
    <mergeCell ref="A3:F3"/>
    <mergeCell ref="A4:F4"/>
    <mergeCell ref="A5:F5"/>
    <mergeCell ref="A6:F6"/>
    <mergeCell ref="A7:F7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9" min="8" style="0" width="24"/>
    <col collapsed="false" customWidth="true" hidden="false" outlineLevel="0" max="10" min="10" style="0" width="44"/>
  </cols>
  <sheetData>
    <row r="1" customFormat="false" ht="21.6" hidden="false" customHeight="false" outlineLevel="0" collapsed="false">
      <c r="A1" s="1" t="s">
        <v>46</v>
      </c>
    </row>
    <row r="2" customFormat="false" ht="30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9.85" hidden="false" customHeight="false" outlineLevel="0" collapsed="false">
      <c r="A4" s="8" t="s">
        <v>48</v>
      </c>
      <c r="B4" s="8" t="s">
        <v>49</v>
      </c>
      <c r="C4" s="8" t="s">
        <v>50</v>
      </c>
      <c r="D4" s="8" t="s">
        <v>51</v>
      </c>
      <c r="E4" s="9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</row>
    <row r="5" customFormat="false" ht="75" hidden="false" customHeight="true" outlineLevel="0" collapsed="false">
      <c r="A5" s="10" t="n">
        <v>1</v>
      </c>
      <c r="B5" s="11" t="s">
        <v>58</v>
      </c>
      <c r="C5" s="11" t="s">
        <v>59</v>
      </c>
      <c r="D5" s="11" t="s">
        <v>60</v>
      </c>
      <c r="E5" s="11" t="s">
        <v>61</v>
      </c>
      <c r="F5" s="11" t="s">
        <v>62</v>
      </c>
      <c r="G5" s="12" t="s">
        <v>63</v>
      </c>
      <c r="H5" s="11" t="s">
        <v>64</v>
      </c>
      <c r="I5" s="11" t="s">
        <v>65</v>
      </c>
      <c r="J5" s="11" t="s">
        <v>66</v>
      </c>
    </row>
    <row r="6" customFormat="false" ht="75" hidden="false" customHeight="true" outlineLevel="0" collapsed="false">
      <c r="A6" s="10" t="n">
        <v>2</v>
      </c>
      <c r="B6" s="11" t="s">
        <v>58</v>
      </c>
      <c r="C6" s="11" t="s">
        <v>67</v>
      </c>
      <c r="D6" s="11" t="s">
        <v>68</v>
      </c>
      <c r="E6" s="11" t="s">
        <v>69</v>
      </c>
      <c r="F6" s="11" t="s">
        <v>70</v>
      </c>
      <c r="G6" s="12" t="s">
        <v>71</v>
      </c>
      <c r="H6" s="11" t="s">
        <v>72</v>
      </c>
      <c r="I6" s="11" t="s">
        <v>73</v>
      </c>
      <c r="J6" s="11" t="s">
        <v>74</v>
      </c>
    </row>
    <row r="7" customFormat="false" ht="75" hidden="false" customHeight="true" outlineLevel="0" collapsed="false">
      <c r="A7" s="10" t="n">
        <v>3</v>
      </c>
      <c r="B7" s="11" t="s">
        <v>58</v>
      </c>
      <c r="C7" s="11" t="s">
        <v>75</v>
      </c>
      <c r="D7" s="11" t="s">
        <v>68</v>
      </c>
      <c r="E7" s="11" t="s">
        <v>69</v>
      </c>
      <c r="F7" s="11" t="s">
        <v>76</v>
      </c>
      <c r="G7" s="12" t="s">
        <v>77</v>
      </c>
      <c r="H7" s="11" t="s">
        <v>78</v>
      </c>
      <c r="I7" s="11" t="s">
        <v>79</v>
      </c>
      <c r="J7" s="11" t="s">
        <v>80</v>
      </c>
    </row>
    <row r="8" customFormat="false" ht="75" hidden="false" customHeight="true" outlineLevel="0" collapsed="false">
      <c r="A8" s="10" t="n">
        <v>4</v>
      </c>
      <c r="B8" s="11" t="s">
        <v>58</v>
      </c>
      <c r="C8" s="11" t="s">
        <v>81</v>
      </c>
      <c r="D8" s="11" t="s">
        <v>82</v>
      </c>
      <c r="E8" s="11" t="s">
        <v>69</v>
      </c>
      <c r="F8" s="11" t="s">
        <v>83</v>
      </c>
      <c r="G8" s="12" t="s">
        <v>84</v>
      </c>
      <c r="H8" s="11" t="s">
        <v>85</v>
      </c>
      <c r="I8" s="11" t="s">
        <v>86</v>
      </c>
      <c r="J8" s="12" t="s">
        <v>87</v>
      </c>
    </row>
    <row r="9" customFormat="false" ht="75" hidden="false" customHeight="true" outlineLevel="0" collapsed="false">
      <c r="A9" s="10" t="n">
        <v>5</v>
      </c>
      <c r="B9" s="11" t="s">
        <v>88</v>
      </c>
      <c r="C9" s="11" t="s">
        <v>89</v>
      </c>
      <c r="D9" s="11" t="s">
        <v>60</v>
      </c>
      <c r="E9" s="11" t="s">
        <v>90</v>
      </c>
      <c r="F9" s="11" t="s">
        <v>91</v>
      </c>
      <c r="G9" s="12" t="s">
        <v>92</v>
      </c>
      <c r="H9" s="11" t="s">
        <v>93</v>
      </c>
      <c r="I9" s="11" t="s">
        <v>94</v>
      </c>
      <c r="J9" s="11" t="s">
        <v>95</v>
      </c>
    </row>
    <row r="10" customFormat="false" ht="75" hidden="false" customHeight="true" outlineLevel="0" collapsed="false">
      <c r="A10" s="10" t="n">
        <v>6</v>
      </c>
      <c r="B10" s="11" t="s">
        <v>88</v>
      </c>
      <c r="C10" s="11" t="s">
        <v>96</v>
      </c>
      <c r="D10" s="11" t="s">
        <v>68</v>
      </c>
      <c r="E10" s="11" t="s">
        <v>69</v>
      </c>
      <c r="F10" s="11" t="s">
        <v>97</v>
      </c>
      <c r="G10" s="12" t="s">
        <v>98</v>
      </c>
      <c r="H10" s="11" t="s">
        <v>99</v>
      </c>
      <c r="I10" s="11" t="s">
        <v>100</v>
      </c>
      <c r="J10" s="11" t="s">
        <v>101</v>
      </c>
    </row>
    <row r="11" customFormat="false" ht="75" hidden="false" customHeight="true" outlineLevel="0" collapsed="false">
      <c r="A11" s="10" t="n">
        <v>7</v>
      </c>
      <c r="B11" s="11" t="s">
        <v>88</v>
      </c>
      <c r="C11" s="11" t="s">
        <v>102</v>
      </c>
      <c r="D11" s="11" t="s">
        <v>68</v>
      </c>
      <c r="E11" s="11" t="s">
        <v>69</v>
      </c>
      <c r="F11" s="11" t="s">
        <v>103</v>
      </c>
      <c r="G11" s="12" t="s">
        <v>104</v>
      </c>
      <c r="H11" s="11" t="s">
        <v>105</v>
      </c>
      <c r="I11" s="11" t="s">
        <v>106</v>
      </c>
      <c r="J11" s="11" t="s">
        <v>107</v>
      </c>
    </row>
    <row r="12" customFormat="false" ht="75" hidden="false" customHeight="true" outlineLevel="0" collapsed="false">
      <c r="A12" s="10" t="n">
        <v>8</v>
      </c>
      <c r="B12" s="11" t="s">
        <v>108</v>
      </c>
      <c r="C12" s="11" t="s">
        <v>109</v>
      </c>
      <c r="D12" s="11" t="s">
        <v>82</v>
      </c>
      <c r="E12" s="11" t="s">
        <v>69</v>
      </c>
      <c r="F12" s="11" t="s">
        <v>110</v>
      </c>
      <c r="G12" s="12" t="s">
        <v>111</v>
      </c>
      <c r="H12" s="11" t="s">
        <v>112</v>
      </c>
      <c r="I12" s="11" t="s">
        <v>113</v>
      </c>
      <c r="J12" s="11" t="s">
        <v>114</v>
      </c>
    </row>
    <row r="13" customFormat="false" ht="75" hidden="false" customHeight="true" outlineLevel="0" collapsed="false">
      <c r="A13" s="10" t="n">
        <v>9</v>
      </c>
      <c r="B13" s="11" t="s">
        <v>108</v>
      </c>
      <c r="C13" s="11" t="s">
        <v>115</v>
      </c>
      <c r="D13" s="11" t="s">
        <v>82</v>
      </c>
      <c r="E13" s="11" t="s">
        <v>69</v>
      </c>
      <c r="F13" s="11" t="s">
        <v>116</v>
      </c>
      <c r="G13" s="12" t="s">
        <v>117</v>
      </c>
      <c r="H13" s="11" t="s">
        <v>118</v>
      </c>
      <c r="I13" s="11" t="s">
        <v>119</v>
      </c>
      <c r="J13" s="11" t="s">
        <v>120</v>
      </c>
    </row>
    <row r="14" customFormat="false" ht="75" hidden="false" customHeight="true" outlineLevel="0" collapsed="false">
      <c r="A14" s="10" t="n">
        <v>10</v>
      </c>
      <c r="B14" s="11" t="s">
        <v>108</v>
      </c>
      <c r="C14" s="11" t="s">
        <v>121</v>
      </c>
      <c r="D14" s="11" t="s">
        <v>82</v>
      </c>
      <c r="E14" s="11" t="s">
        <v>69</v>
      </c>
      <c r="F14" s="11" t="s">
        <v>122</v>
      </c>
      <c r="G14" s="12" t="s">
        <v>28</v>
      </c>
      <c r="H14" s="11" t="s">
        <v>123</v>
      </c>
      <c r="I14" s="11" t="s">
        <v>124</v>
      </c>
      <c r="J14" s="11" t="s">
        <v>125</v>
      </c>
    </row>
    <row r="15" customFormat="false" ht="75" hidden="false" customHeight="true" outlineLevel="0" collapsed="false">
      <c r="A15" s="10" t="n">
        <v>11</v>
      </c>
      <c r="B15" s="11" t="s">
        <v>108</v>
      </c>
      <c r="C15" s="11" t="s">
        <v>126</v>
      </c>
      <c r="D15" s="11" t="s">
        <v>82</v>
      </c>
      <c r="E15" s="11" t="s">
        <v>69</v>
      </c>
      <c r="F15" s="11" t="s">
        <v>127</v>
      </c>
      <c r="G15" s="12" t="s">
        <v>128</v>
      </c>
      <c r="H15" s="11" t="s">
        <v>129</v>
      </c>
      <c r="I15" s="11" t="s">
        <v>130</v>
      </c>
      <c r="J15" s="11" t="s">
        <v>131</v>
      </c>
    </row>
    <row r="16" customFormat="false" ht="75" hidden="false" customHeight="true" outlineLevel="0" collapsed="false">
      <c r="A16" s="10" t="n">
        <v>12</v>
      </c>
      <c r="B16" s="11" t="s">
        <v>108</v>
      </c>
      <c r="C16" s="11" t="s">
        <v>132</v>
      </c>
      <c r="D16" s="11" t="s">
        <v>82</v>
      </c>
      <c r="E16" s="11" t="s">
        <v>69</v>
      </c>
      <c r="F16" s="11" t="s">
        <v>133</v>
      </c>
      <c r="G16" s="12" t="s">
        <v>26</v>
      </c>
      <c r="H16" s="11" t="s">
        <v>134</v>
      </c>
      <c r="I16" s="11" t="s">
        <v>135</v>
      </c>
      <c r="J16" s="11" t="s">
        <v>136</v>
      </c>
    </row>
    <row r="17" customFormat="false" ht="75" hidden="false" customHeight="true" outlineLevel="0" collapsed="false">
      <c r="A17" s="10" t="n">
        <v>13</v>
      </c>
      <c r="B17" s="11" t="s">
        <v>137</v>
      </c>
      <c r="C17" s="11" t="s">
        <v>138</v>
      </c>
      <c r="D17" s="11" t="s">
        <v>82</v>
      </c>
      <c r="E17" s="11" t="s">
        <v>69</v>
      </c>
      <c r="F17" s="11" t="s">
        <v>139</v>
      </c>
      <c r="G17" s="12" t="s">
        <v>140</v>
      </c>
      <c r="H17" s="11" t="s">
        <v>141</v>
      </c>
      <c r="I17" s="11" t="s">
        <v>142</v>
      </c>
      <c r="J17" s="11" t="s">
        <v>143</v>
      </c>
    </row>
    <row r="18" customFormat="false" ht="75" hidden="false" customHeight="true" outlineLevel="0" collapsed="false">
      <c r="A18" s="10" t="n">
        <v>14</v>
      </c>
      <c r="B18" s="11" t="s">
        <v>137</v>
      </c>
      <c r="C18" s="11" t="s">
        <v>144</v>
      </c>
      <c r="D18" s="11" t="s">
        <v>82</v>
      </c>
      <c r="E18" s="11" t="s">
        <v>69</v>
      </c>
      <c r="F18" s="11" t="s">
        <v>145</v>
      </c>
      <c r="G18" s="12" t="s">
        <v>146</v>
      </c>
      <c r="H18" s="11" t="s">
        <v>147</v>
      </c>
      <c r="I18" s="11" t="s">
        <v>148</v>
      </c>
      <c r="J18" s="12" t="s">
        <v>149</v>
      </c>
    </row>
    <row r="19" customFormat="false" ht="75" hidden="false" customHeight="true" outlineLevel="0" collapsed="false">
      <c r="A19" s="10" t="n">
        <v>15</v>
      </c>
      <c r="B19" s="11" t="s">
        <v>137</v>
      </c>
      <c r="C19" s="11" t="s">
        <v>150</v>
      </c>
      <c r="D19" s="11" t="s">
        <v>68</v>
      </c>
      <c r="E19" s="11" t="s">
        <v>69</v>
      </c>
      <c r="F19" s="11" t="s">
        <v>151</v>
      </c>
      <c r="G19" s="12" t="s">
        <v>152</v>
      </c>
      <c r="H19" s="11" t="s">
        <v>153</v>
      </c>
      <c r="I19" s="11" t="s">
        <v>154</v>
      </c>
      <c r="J19" s="11" t="s">
        <v>155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156</v>
      </c>
    </row>
    <row r="2" customFormat="false" ht="17.15" hidden="false" customHeight="true" outlineLevel="0" collapsed="false">
      <c r="A2" s="4" t="s">
        <v>157</v>
      </c>
      <c r="B2" s="3" t="s">
        <v>158</v>
      </c>
      <c r="C2" s="3"/>
      <c r="D2" s="3"/>
      <c r="E2" s="3"/>
      <c r="F2" s="3"/>
      <c r="G2" s="3"/>
      <c r="H2" s="3"/>
    </row>
    <row r="3" customFormat="false" ht="17.15" hidden="false" customHeight="true" outlineLevel="0" collapsed="false">
      <c r="A3" s="4" t="s">
        <v>159</v>
      </c>
      <c r="B3" s="2" t="s">
        <v>160</v>
      </c>
      <c r="C3" s="2"/>
      <c r="D3" s="2"/>
      <c r="E3" s="2"/>
      <c r="F3" s="2"/>
      <c r="G3" s="2"/>
      <c r="H3" s="2"/>
    </row>
    <row r="4" customFormat="false" ht="32.8" hidden="false" customHeight="true" outlineLevel="0" collapsed="false">
      <c r="A4" s="4" t="s">
        <v>161</v>
      </c>
      <c r="B4" s="2" t="s">
        <v>162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163</v>
      </c>
      <c r="C5" s="13"/>
      <c r="D5" s="13"/>
      <c r="E5" s="13"/>
      <c r="F5" s="13"/>
      <c r="G5" s="13"/>
      <c r="H5" s="13"/>
    </row>
    <row r="7" customFormat="false" ht="17.15" hidden="false" customHeight="false" outlineLevel="0" collapsed="false">
      <c r="A7" s="8" t="s">
        <v>164</v>
      </c>
      <c r="B7" s="8" t="s">
        <v>159</v>
      </c>
      <c r="C7" s="8" t="s">
        <v>165</v>
      </c>
    </row>
    <row r="8" customFormat="false" ht="15" hidden="false" customHeight="false" outlineLevel="0" collapsed="false">
      <c r="A8" s="14" t="s">
        <v>166</v>
      </c>
      <c r="B8" s="15" t="s">
        <v>167</v>
      </c>
      <c r="C8" s="16" t="n">
        <v>552</v>
      </c>
    </row>
    <row r="9" customFormat="false" ht="15" hidden="false" customHeight="false" outlineLevel="0" collapsed="false">
      <c r="A9" s="14" t="s">
        <v>168</v>
      </c>
      <c r="B9" s="15" t="s">
        <v>169</v>
      </c>
      <c r="C9" s="16" t="n">
        <v>366024</v>
      </c>
    </row>
    <row r="10" customFormat="false" ht="17.15" hidden="false" customHeight="false" outlineLevel="0" collapsed="false">
      <c r="A10" s="14" t="s">
        <v>170</v>
      </c>
      <c r="B10" s="15" t="s">
        <v>169</v>
      </c>
      <c r="C10" s="16" t="n">
        <v>241529</v>
      </c>
    </row>
    <row r="11" customFormat="false" ht="17.15" hidden="false" customHeight="false" outlineLevel="0" collapsed="false">
      <c r="A11" s="14" t="s">
        <v>171</v>
      </c>
      <c r="B11" s="15" t="s">
        <v>169</v>
      </c>
      <c r="C11" s="16" t="n">
        <v>124495</v>
      </c>
    </row>
    <row r="12" customFormat="false" ht="15" hidden="false" customHeight="false" outlineLevel="0" collapsed="false">
      <c r="A12" s="14" t="s">
        <v>172</v>
      </c>
      <c r="B12" s="15" t="s">
        <v>169</v>
      </c>
      <c r="C12" s="16" t="n">
        <v>63</v>
      </c>
    </row>
    <row r="13" customFormat="false" ht="17.15" hidden="false" customHeight="false" outlineLevel="0" collapsed="false">
      <c r="A13" s="14" t="s">
        <v>173</v>
      </c>
      <c r="B13" s="15" t="s">
        <v>169</v>
      </c>
      <c r="C13" s="16" t="n">
        <v>5</v>
      </c>
    </row>
    <row r="14" customFormat="false" ht="17.15" hidden="false" customHeight="false" outlineLevel="0" collapsed="false">
      <c r="A14" s="14" t="s">
        <v>174</v>
      </c>
      <c r="B14" s="15" t="s">
        <v>169</v>
      </c>
      <c r="C14" s="16" t="n">
        <v>58</v>
      </c>
    </row>
    <row r="15" customFormat="false" ht="15" hidden="false" customHeight="false" outlineLevel="0" collapsed="false">
      <c r="A15" s="14" t="s">
        <v>175</v>
      </c>
      <c r="B15" s="15" t="s">
        <v>169</v>
      </c>
      <c r="C15" s="16" t="n">
        <v>127</v>
      </c>
    </row>
    <row r="16" customFormat="false" ht="17.15" hidden="false" customHeight="false" outlineLevel="0" collapsed="false">
      <c r="A16" s="14" t="s">
        <v>176</v>
      </c>
      <c r="B16" s="15" t="s">
        <v>169</v>
      </c>
      <c r="C16" s="16" t="n">
        <v>32</v>
      </c>
    </row>
    <row r="17" customFormat="false" ht="17.15" hidden="false" customHeight="false" outlineLevel="0" collapsed="false">
      <c r="A17" s="14" t="s">
        <v>177</v>
      </c>
      <c r="B17" s="15" t="s">
        <v>169</v>
      </c>
      <c r="C17" s="16" t="n">
        <v>95</v>
      </c>
    </row>
    <row r="18" customFormat="false" ht="15" hidden="false" customHeight="false" outlineLevel="0" collapsed="false">
      <c r="A18" s="14" t="s">
        <v>178</v>
      </c>
      <c r="B18" s="15" t="s">
        <v>167</v>
      </c>
      <c r="C18" s="16" t="n">
        <v>3661</v>
      </c>
    </row>
    <row r="19" customFormat="false" ht="15" hidden="false" customHeight="false" outlineLevel="0" collapsed="false">
      <c r="A19" s="14" t="s">
        <v>179</v>
      </c>
      <c r="B19" s="15" t="s">
        <v>167</v>
      </c>
      <c r="C19" s="16" t="n">
        <v>85</v>
      </c>
    </row>
    <row r="20" customFormat="false" ht="15" hidden="false" customHeight="false" outlineLevel="0" collapsed="false">
      <c r="A20" s="14" t="s">
        <v>180</v>
      </c>
      <c r="B20" s="14" t="s">
        <v>181</v>
      </c>
      <c r="C20" s="16" t="n">
        <v>146</v>
      </c>
    </row>
    <row r="21" customFormat="false" ht="15" hidden="false" customHeight="false" outlineLevel="0" collapsed="false">
      <c r="A21" s="14" t="s">
        <v>182</v>
      </c>
      <c r="B21" s="14" t="s">
        <v>181</v>
      </c>
      <c r="C21" s="16" t="n">
        <v>28</v>
      </c>
    </row>
    <row r="22" customFormat="false" ht="15" hidden="false" customHeight="false" outlineLevel="0" collapsed="false">
      <c r="A22" s="14" t="s">
        <v>183</v>
      </c>
      <c r="B22" s="15" t="s">
        <v>184</v>
      </c>
      <c r="C22" s="16" t="n">
        <v>378</v>
      </c>
    </row>
    <row r="23" customFormat="false" ht="15" hidden="false" customHeight="false" outlineLevel="0" collapsed="false">
      <c r="A23" s="14" t="s">
        <v>185</v>
      </c>
      <c r="B23" s="15" t="s">
        <v>184</v>
      </c>
      <c r="C23" s="17"/>
    </row>
    <row r="24" customFormat="false" ht="15" hidden="false" customHeight="false" outlineLevel="0" collapsed="false">
      <c r="A24" s="14" t="s">
        <v>186</v>
      </c>
      <c r="B24" s="15" t="s">
        <v>184</v>
      </c>
      <c r="C24" s="16" t="n">
        <v>3</v>
      </c>
    </row>
    <row r="25" customFormat="false" ht="15" hidden="false" customHeight="false" outlineLevel="0" collapsed="false">
      <c r="A25" s="14" t="s">
        <v>187</v>
      </c>
      <c r="B25" s="15" t="s">
        <v>184</v>
      </c>
      <c r="C25" s="17"/>
    </row>
    <row r="26" customFormat="false" ht="15" hidden="false" customHeight="false" outlineLevel="0" collapsed="false">
      <c r="A26" s="14" t="s">
        <v>188</v>
      </c>
      <c r="B26" s="15" t="s">
        <v>184</v>
      </c>
      <c r="C26" s="16" t="n">
        <v>124</v>
      </c>
    </row>
    <row r="27" customFormat="false" ht="15" hidden="false" customHeight="false" outlineLevel="0" collapsed="false">
      <c r="A27" s="14" t="s">
        <v>189</v>
      </c>
      <c r="B27" s="14" t="s">
        <v>181</v>
      </c>
      <c r="C27" s="16" t="n">
        <v>105</v>
      </c>
    </row>
    <row r="28" customFormat="false" ht="15" hidden="false" customHeight="false" outlineLevel="0" collapsed="false">
      <c r="A28" s="14" t="s">
        <v>190</v>
      </c>
      <c r="B28" s="14" t="s">
        <v>181</v>
      </c>
      <c r="C28" s="16" t="n">
        <v>290</v>
      </c>
    </row>
    <row r="29" customFormat="false" ht="15" hidden="false" customHeight="false" outlineLevel="0" collapsed="false">
      <c r="A29" s="15" t="s">
        <v>191</v>
      </c>
      <c r="B29" s="15" t="s">
        <v>184</v>
      </c>
      <c r="C29" s="16" t="n">
        <v>363</v>
      </c>
    </row>
    <row r="30" customFormat="false" ht="15" hidden="false" customHeight="false" outlineLevel="0" collapsed="false">
      <c r="A30" s="14" t="s">
        <v>192</v>
      </c>
      <c r="B30" s="15" t="s">
        <v>169</v>
      </c>
      <c r="C30" s="16" t="n">
        <v>316852</v>
      </c>
    </row>
    <row r="31" customFormat="false" ht="17.15" hidden="false" customHeight="false" outlineLevel="0" collapsed="false">
      <c r="A31" s="14" t="s">
        <v>193</v>
      </c>
      <c r="B31" s="15" t="s">
        <v>169</v>
      </c>
      <c r="C31" s="16" t="n">
        <v>312779</v>
      </c>
    </row>
    <row r="32" customFormat="false" ht="17.15" hidden="false" customHeight="false" outlineLevel="0" collapsed="false">
      <c r="A32" s="14" t="s">
        <v>194</v>
      </c>
      <c r="B32" s="15" t="s">
        <v>169</v>
      </c>
      <c r="C32" s="16" t="n">
        <v>4073</v>
      </c>
    </row>
    <row r="34" customFormat="false" ht="17.15" hidden="false" customHeight="false" outlineLevel="0" collapsed="false">
      <c r="A34" s="4" t="s">
        <v>195</v>
      </c>
    </row>
    <row r="35" customFormat="false" ht="17.15" hidden="false" customHeight="false" outlineLevel="0" collapsed="false">
      <c r="A35" s="8" t="s">
        <v>164</v>
      </c>
      <c r="B35" s="8" t="s">
        <v>196</v>
      </c>
      <c r="C35" s="8" t="s">
        <v>197</v>
      </c>
    </row>
    <row r="36" customFormat="false" ht="15" hidden="false" customHeight="false" outlineLevel="0" collapsed="false">
      <c r="A36" s="14" t="s">
        <v>168</v>
      </c>
      <c r="B36" s="16" t="n">
        <v>366024</v>
      </c>
      <c r="C36" s="18" t="n">
        <f aca="false">B36/$B$40</f>
        <v>0.535854514790665</v>
      </c>
    </row>
    <row r="37" customFormat="false" ht="15" hidden="false" customHeight="false" outlineLevel="0" collapsed="false">
      <c r="A37" s="14" t="s">
        <v>192</v>
      </c>
      <c r="B37" s="16" t="n">
        <v>316852</v>
      </c>
      <c r="C37" s="18" t="n">
        <f aca="false">B37/$B$40</f>
        <v>0.463867327608167</v>
      </c>
    </row>
    <row r="38" customFormat="false" ht="15" hidden="false" customHeight="false" outlineLevel="0" collapsed="false">
      <c r="A38" s="14" t="s">
        <v>175</v>
      </c>
      <c r="B38" s="16" t="n">
        <v>127</v>
      </c>
      <c r="C38" s="18" t="n">
        <f aca="false">B38/$B$40</f>
        <v>0.000185926396570756</v>
      </c>
    </row>
    <row r="39" customFormat="false" ht="15" hidden="false" customHeight="false" outlineLevel="0" collapsed="false">
      <c r="A39" s="14" t="s">
        <v>172</v>
      </c>
      <c r="B39" s="16" t="n">
        <v>63</v>
      </c>
      <c r="C39" s="18" t="n">
        <f aca="false">B39/$B$40</f>
        <v>9.22312045980915E-005</v>
      </c>
    </row>
    <row r="40" customFormat="false" ht="15" hidden="false" customHeight="false" outlineLevel="0" collapsed="false">
      <c r="A40" s="4" t="s">
        <v>198</v>
      </c>
      <c r="B40" s="19" t="n">
        <f aca="false">SUM(B36:B39)</f>
        <v>683066</v>
      </c>
      <c r="C40" s="20" t="n">
        <f aca="false">SUM(C36:C39)</f>
        <v>1</v>
      </c>
    </row>
    <row r="43" customFormat="false" ht="15" hidden="false" customHeight="false" outlineLevel="0" collapsed="false">
      <c r="A43" s="4" t="s">
        <v>199</v>
      </c>
    </row>
    <row r="44" customFormat="false" ht="30" hidden="false" customHeight="true" outlineLevel="0" collapsed="false">
      <c r="A44" s="21" t="s">
        <v>200</v>
      </c>
      <c r="B44" s="21"/>
      <c r="C44" s="21"/>
      <c r="D44" s="21"/>
      <c r="E44" s="21"/>
      <c r="F44" s="21"/>
      <c r="G44" s="21"/>
      <c r="H44" s="21"/>
    </row>
    <row r="45" customFormat="false" ht="30" hidden="false" customHeight="true" outlineLevel="0" collapsed="false">
      <c r="A45" s="21" t="s">
        <v>201</v>
      </c>
      <c r="B45" s="21"/>
      <c r="C45" s="21"/>
      <c r="D45" s="21"/>
      <c r="E45" s="21"/>
      <c r="F45" s="21"/>
      <c r="G45" s="21"/>
      <c r="H45" s="21"/>
    </row>
    <row r="46" customFormat="false" ht="30" hidden="false" customHeight="true" outlineLevel="0" collapsed="false">
      <c r="A46" s="21" t="s">
        <v>202</v>
      </c>
      <c r="B46" s="21"/>
      <c r="C46" s="21"/>
      <c r="D46" s="21"/>
      <c r="E46" s="21"/>
      <c r="F46" s="21"/>
      <c r="G46" s="21"/>
      <c r="H46" s="21"/>
    </row>
    <row r="48" customFormat="false" ht="15" hidden="false" customHeight="false" outlineLevel="0" collapsed="false">
      <c r="A48" s="4" t="s">
        <v>203</v>
      </c>
    </row>
    <row r="49" customFormat="false" ht="30" hidden="false" customHeight="true" outlineLevel="0" collapsed="false">
      <c r="A49" s="21" t="s">
        <v>204</v>
      </c>
      <c r="B49" s="21"/>
      <c r="C49" s="21"/>
      <c r="D49" s="21"/>
      <c r="E49" s="21"/>
      <c r="F49" s="21"/>
      <c r="G49" s="21"/>
      <c r="H49" s="21"/>
    </row>
    <row r="50" customFormat="false" ht="30" hidden="false" customHeight="true" outlineLevel="0" collapsed="false">
      <c r="A50" s="21" t="s">
        <v>205</v>
      </c>
      <c r="B50" s="21"/>
      <c r="C50" s="21"/>
      <c r="D50" s="21"/>
      <c r="E50" s="21"/>
      <c r="F50" s="21"/>
      <c r="G50" s="21"/>
      <c r="H50" s="21"/>
    </row>
    <row r="51" customFormat="false" ht="30" hidden="false" customHeight="true" outlineLevel="0" collapsed="false">
      <c r="A51" s="21" t="s">
        <v>206</v>
      </c>
      <c r="B51" s="21"/>
      <c r="C51" s="21"/>
      <c r="D51" s="21"/>
      <c r="E51" s="21"/>
      <c r="F51" s="21"/>
      <c r="G51" s="21"/>
      <c r="H51" s="21"/>
    </row>
    <row r="53" customFormat="false" ht="15" hidden="false" customHeight="false" outlineLevel="0" collapsed="false">
      <c r="A53" s="4" t="s">
        <v>207</v>
      </c>
    </row>
    <row r="54" customFormat="false" ht="30" hidden="false" customHeight="true" outlineLevel="0" collapsed="false">
      <c r="A54" s="21" t="s">
        <v>208</v>
      </c>
      <c r="B54" s="21"/>
      <c r="C54" s="21"/>
      <c r="D54" s="21"/>
      <c r="E54" s="21"/>
      <c r="F54" s="21"/>
      <c r="G54" s="21"/>
      <c r="H54" s="21"/>
    </row>
    <row r="55" customFormat="false" ht="30" hidden="false" customHeight="true" outlineLevel="0" collapsed="false">
      <c r="A55" s="21" t="s">
        <v>209</v>
      </c>
      <c r="B55" s="21"/>
      <c r="C55" s="21"/>
      <c r="D55" s="21"/>
      <c r="E55" s="21"/>
      <c r="F55" s="21"/>
      <c r="G55" s="21"/>
      <c r="H55" s="21"/>
    </row>
  </sheetData>
  <mergeCells count="12">
    <mergeCell ref="B2:H2"/>
    <mergeCell ref="B3:H3"/>
    <mergeCell ref="B4:H4"/>
    <mergeCell ref="B5:H5"/>
    <mergeCell ref="A44:H44"/>
    <mergeCell ref="A45:H45"/>
    <mergeCell ref="A46:H46"/>
    <mergeCell ref="A49:H49"/>
    <mergeCell ref="A50:H50"/>
    <mergeCell ref="A51:H51"/>
    <mergeCell ref="A54:H54"/>
    <mergeCell ref="A55:H55"/>
  </mergeCells>
  <hyperlinks>
    <hyperlink ref="B5" r:id="rId1" display="부산광역시_신재생에너지 보급현황(2024.12.31 기준, 2026.2.11 갱신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8" min="6" style="0" width="12"/>
  </cols>
  <sheetData>
    <row r="1" customFormat="false" ht="21.6" hidden="false" customHeight="false" outlineLevel="0" collapsed="false">
      <c r="A1" s="1" t="s">
        <v>210</v>
      </c>
    </row>
    <row r="2" customFormat="false" ht="17.15" hidden="false" customHeight="true" outlineLevel="0" collapsed="false">
      <c r="A2" s="4" t="s">
        <v>157</v>
      </c>
      <c r="B2" s="3" t="s">
        <v>211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159</v>
      </c>
      <c r="B3" s="3" t="s">
        <v>212</v>
      </c>
      <c r="C3" s="3"/>
      <c r="D3" s="3"/>
      <c r="E3" s="3"/>
      <c r="F3" s="3"/>
      <c r="G3" s="3"/>
      <c r="H3" s="3"/>
    </row>
    <row r="4" customFormat="false" ht="32.8" hidden="false" customHeight="true" outlineLevel="0" collapsed="false">
      <c r="A4" s="4" t="s">
        <v>161</v>
      </c>
      <c r="B4" s="2" t="s">
        <v>213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214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215</v>
      </c>
      <c r="C6" s="13"/>
      <c r="D6" s="13"/>
      <c r="E6" s="13"/>
      <c r="F6" s="13"/>
      <c r="G6" s="13"/>
      <c r="H6" s="13"/>
    </row>
    <row r="7" customFormat="false" ht="17.15" hidden="false" customHeight="false" outlineLevel="0" collapsed="false">
      <c r="A7" s="4" t="s">
        <v>44</v>
      </c>
      <c r="B7" s="13" t="s">
        <v>216</v>
      </c>
      <c r="C7" s="13"/>
      <c r="D7" s="13"/>
      <c r="E7" s="13"/>
      <c r="F7" s="13"/>
      <c r="G7" s="13"/>
      <c r="H7" s="13"/>
    </row>
    <row r="9" customFormat="false" ht="29.85" hidden="false" customHeight="false" outlineLevel="0" collapsed="false">
      <c r="A9" s="8" t="s">
        <v>217</v>
      </c>
      <c r="B9" s="8" t="s">
        <v>218</v>
      </c>
      <c r="C9" s="8" t="s">
        <v>219</v>
      </c>
      <c r="D9" s="8" t="s">
        <v>197</v>
      </c>
    </row>
    <row r="10" customFormat="false" ht="17.15" hidden="false" customHeight="false" outlineLevel="0" collapsed="false">
      <c r="A10" s="15" t="s">
        <v>220</v>
      </c>
      <c r="B10" s="16" t="n">
        <v>988</v>
      </c>
      <c r="C10" s="16" t="n">
        <v>22954</v>
      </c>
      <c r="D10" s="18" t="n">
        <f aca="false">B10/C10</f>
        <v>0.0430426069530365</v>
      </c>
    </row>
    <row r="11" customFormat="false" ht="17.15" hidden="false" customHeight="false" outlineLevel="0" collapsed="false">
      <c r="A11" s="15" t="s">
        <v>221</v>
      </c>
      <c r="B11" s="16" t="n">
        <v>4769</v>
      </c>
      <c r="C11" s="16" t="n">
        <v>22965</v>
      </c>
      <c r="D11" s="18" t="n">
        <f aca="false">B11/C11</f>
        <v>0.207663836272589</v>
      </c>
    </row>
    <row r="12" customFormat="false" ht="17.15" hidden="false" customHeight="false" outlineLevel="0" collapsed="false">
      <c r="A12" s="15" t="s">
        <v>222</v>
      </c>
      <c r="B12" s="16" t="n">
        <v>11936</v>
      </c>
      <c r="C12" s="16" t="n">
        <v>23869</v>
      </c>
      <c r="D12" s="18" t="n">
        <f aca="false">B12/C12</f>
        <v>0.500062843018141</v>
      </c>
    </row>
    <row r="13" customFormat="false" ht="15" hidden="false" customHeight="false" outlineLevel="0" collapsed="false">
      <c r="A13" s="22" t="s">
        <v>223</v>
      </c>
    </row>
    <row r="15" customFormat="false" ht="48" hidden="false" customHeight="true" outlineLevel="0" collapsed="false">
      <c r="A15" s="3" t="s">
        <v>224</v>
      </c>
      <c r="B15" s="3"/>
      <c r="C15" s="3"/>
      <c r="D15" s="3"/>
    </row>
    <row r="16" customFormat="false" ht="48" hidden="false" customHeight="true" outlineLevel="0" collapsed="false">
      <c r="A16" s="2" t="s">
        <v>225</v>
      </c>
      <c r="B16" s="2"/>
      <c r="C16" s="2"/>
      <c r="D16" s="2"/>
    </row>
    <row r="27" customFormat="false" ht="15" hidden="false" customHeight="false" outlineLevel="0" collapsed="false">
      <c r="A27" s="4" t="s">
        <v>199</v>
      </c>
    </row>
    <row r="28" customFormat="false" ht="30" hidden="false" customHeight="true" outlineLevel="0" collapsed="false">
      <c r="A28" s="23" t="s">
        <v>226</v>
      </c>
      <c r="B28" s="23"/>
      <c r="C28" s="23"/>
      <c r="D28" s="23"/>
      <c r="E28" s="23"/>
      <c r="F28" s="23"/>
      <c r="G28" s="23"/>
      <c r="H28" s="23"/>
    </row>
    <row r="29" customFormat="false" ht="30" hidden="false" customHeight="true" outlineLevel="0" collapsed="false">
      <c r="A29" s="23" t="s">
        <v>227</v>
      </c>
      <c r="B29" s="23"/>
      <c r="C29" s="23"/>
      <c r="D29" s="23"/>
      <c r="E29" s="23"/>
      <c r="F29" s="23"/>
      <c r="G29" s="23"/>
      <c r="H29" s="23"/>
    </row>
    <row r="31" customFormat="false" ht="15" hidden="false" customHeight="false" outlineLevel="0" collapsed="false">
      <c r="A31" s="4" t="s">
        <v>203</v>
      </c>
    </row>
    <row r="32" customFormat="false" ht="30" hidden="false" customHeight="true" outlineLevel="0" collapsed="false">
      <c r="A32" s="23" t="s">
        <v>228</v>
      </c>
      <c r="B32" s="23"/>
      <c r="C32" s="23"/>
      <c r="D32" s="23"/>
      <c r="E32" s="23"/>
      <c r="F32" s="23"/>
      <c r="G32" s="23"/>
      <c r="H32" s="23"/>
    </row>
    <row r="33" customFormat="false" ht="30" hidden="false" customHeight="true" outlineLevel="0" collapsed="false">
      <c r="A33" s="21" t="s">
        <v>229</v>
      </c>
      <c r="B33" s="21"/>
      <c r="C33" s="21"/>
      <c r="D33" s="21"/>
      <c r="E33" s="21"/>
      <c r="F33" s="21"/>
      <c r="G33" s="21"/>
      <c r="H33" s="21"/>
    </row>
    <row r="35" customFormat="false" ht="15" hidden="false" customHeight="false" outlineLevel="0" collapsed="false">
      <c r="A35" s="4" t="s">
        <v>207</v>
      </c>
    </row>
    <row r="36" customFormat="false" ht="30" hidden="false" customHeight="true" outlineLevel="0" collapsed="false">
      <c r="A36" s="23" t="s">
        <v>230</v>
      </c>
      <c r="B36" s="23"/>
      <c r="C36" s="23"/>
      <c r="D36" s="23"/>
      <c r="E36" s="23"/>
      <c r="F36" s="23"/>
      <c r="G36" s="23"/>
      <c r="H36" s="23"/>
    </row>
    <row r="37" customFormat="false" ht="30" hidden="false" customHeight="true" outlineLevel="0" collapsed="false">
      <c r="A37" s="21" t="s">
        <v>231</v>
      </c>
      <c r="B37" s="21"/>
      <c r="C37" s="21"/>
      <c r="D37" s="21"/>
      <c r="E37" s="21"/>
      <c r="F37" s="21"/>
      <c r="G37" s="21"/>
      <c r="H37" s="21"/>
    </row>
  </sheetData>
  <mergeCells count="14">
    <mergeCell ref="B2:H2"/>
    <mergeCell ref="B3:H3"/>
    <mergeCell ref="B4:H4"/>
    <mergeCell ref="B5:H5"/>
    <mergeCell ref="B6:H6"/>
    <mergeCell ref="B7:H7"/>
    <mergeCell ref="A15:D15"/>
    <mergeCell ref="A16:D16"/>
    <mergeCell ref="A28:H28"/>
    <mergeCell ref="A29:H29"/>
    <mergeCell ref="A32:H32"/>
    <mergeCell ref="A33:H33"/>
    <mergeCell ref="A36:H36"/>
    <mergeCell ref="A37:H37"/>
  </mergeCells>
  <hyperlinks>
    <hyperlink ref="B5" r:id="rId1" display="부산광역시 누리집, 신재생에너지 비전과 전략"/>
    <hyperlink ref="B6" r:id="rId2" display="파이낸셜뉴스, 2025.7.29. 부산시 제7차 지역에너지계획 보도"/>
    <hyperlink ref="B7" r:id="rId3" display="트위그뉴스, 2025.7.29. 부산 신재생 에너지 확대 박차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  <col collapsed="false" customWidth="true" hidden="false" outlineLevel="0" max="7" min="7" style="0" width="4"/>
    <col collapsed="false" customWidth="true" hidden="false" outlineLevel="0" max="8" min="8" style="0" width="12"/>
  </cols>
  <sheetData>
    <row r="1" customFormat="false" ht="21.6" hidden="false" customHeight="false" outlineLevel="0" collapsed="false">
      <c r="A1" s="1" t="s">
        <v>232</v>
      </c>
    </row>
    <row r="2" customFormat="false" ht="17.15" hidden="false" customHeight="true" outlineLevel="0" collapsed="false">
      <c r="A2" s="4" t="s">
        <v>157</v>
      </c>
      <c r="B2" s="3" t="s">
        <v>233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159</v>
      </c>
      <c r="B3" s="3" t="s">
        <v>234</v>
      </c>
      <c r="C3" s="3"/>
      <c r="D3" s="3"/>
      <c r="E3" s="3"/>
      <c r="F3" s="3"/>
      <c r="G3" s="3"/>
      <c r="H3" s="3"/>
    </row>
    <row r="4" customFormat="false" ht="32.8" hidden="false" customHeight="true" outlineLevel="0" collapsed="false">
      <c r="A4" s="4" t="s">
        <v>161</v>
      </c>
      <c r="B4" s="2" t="s">
        <v>235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236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237</v>
      </c>
      <c r="C6" s="13"/>
      <c r="D6" s="13"/>
      <c r="E6" s="13"/>
      <c r="F6" s="13"/>
      <c r="G6" s="13"/>
      <c r="H6" s="13"/>
    </row>
    <row r="8" customFormat="false" ht="17.15" hidden="false" customHeight="false" outlineLevel="0" collapsed="false">
      <c r="A8" s="4" t="s">
        <v>238</v>
      </c>
      <c r="B8" s="24" t="n">
        <v>834</v>
      </c>
    </row>
    <row r="9" customFormat="false" ht="17.15" hidden="false" customHeight="false" outlineLevel="0" collapsed="false">
      <c r="A9" s="6" t="s">
        <v>239</v>
      </c>
      <c r="B9" s="24" t="n">
        <v>8760</v>
      </c>
    </row>
    <row r="11" customFormat="false" ht="17.15" hidden="false" customHeight="false" outlineLevel="0" collapsed="false">
      <c r="A11" s="8" t="s">
        <v>240</v>
      </c>
      <c r="B11" s="9" t="s">
        <v>241</v>
      </c>
      <c r="C11" s="9" t="s">
        <v>242</v>
      </c>
      <c r="D11" s="9" t="s">
        <v>243</v>
      </c>
      <c r="E11" s="9" t="s">
        <v>244</v>
      </c>
      <c r="F11" s="9" t="s">
        <v>245</v>
      </c>
    </row>
    <row r="12" customFormat="false" ht="17.15" hidden="false" customHeight="false" outlineLevel="0" collapsed="false">
      <c r="A12" s="15" t="s">
        <v>246</v>
      </c>
      <c r="B12" s="16" t="n">
        <v>79164</v>
      </c>
      <c r="C12" s="16" t="n">
        <v>82254</v>
      </c>
      <c r="D12" s="16" t="n">
        <v>82978</v>
      </c>
      <c r="E12" s="16" t="n">
        <v>78222</v>
      </c>
      <c r="F12" s="16" t="n">
        <v>83030</v>
      </c>
    </row>
    <row r="13" customFormat="false" ht="17.15" hidden="false" customHeight="false" outlineLevel="0" collapsed="false">
      <c r="A13" s="15" t="s">
        <v>247</v>
      </c>
      <c r="B13" s="16" t="n">
        <v>81885</v>
      </c>
      <c r="C13" s="16" t="n">
        <v>87381</v>
      </c>
      <c r="D13" s="16" t="n">
        <v>73280</v>
      </c>
      <c r="E13" s="16" t="n">
        <v>55891</v>
      </c>
      <c r="F13" s="16" t="n">
        <v>89412</v>
      </c>
    </row>
    <row r="14" customFormat="false" ht="17.15" hidden="false" customHeight="false" outlineLevel="0" collapsed="false">
      <c r="A14" s="15" t="s">
        <v>248</v>
      </c>
      <c r="B14" s="16" t="n">
        <v>92253</v>
      </c>
      <c r="C14" s="16" t="n">
        <v>83912</v>
      </c>
      <c r="D14" s="16" t="n">
        <v>89613</v>
      </c>
      <c r="E14" s="16" t="n">
        <v>90945</v>
      </c>
      <c r="F14" s="16" t="n">
        <v>83683</v>
      </c>
    </row>
    <row r="15" customFormat="false" ht="17.15" hidden="false" customHeight="false" outlineLevel="0" collapsed="false">
      <c r="A15" s="15" t="s">
        <v>249</v>
      </c>
      <c r="B15" s="16" t="n">
        <v>110334</v>
      </c>
      <c r="C15" s="16" t="n">
        <v>99192</v>
      </c>
      <c r="D15" s="16" t="n">
        <v>95558</v>
      </c>
      <c r="E15" s="16" t="n">
        <v>88324</v>
      </c>
      <c r="F15" s="16" t="n">
        <v>103056</v>
      </c>
    </row>
    <row r="16" customFormat="false" ht="17.15" hidden="false" customHeight="false" outlineLevel="0" collapsed="false">
      <c r="A16" s="15" t="s">
        <v>250</v>
      </c>
      <c r="B16" s="16" t="n">
        <v>101161</v>
      </c>
      <c r="C16" s="16" t="n">
        <v>134978</v>
      </c>
      <c r="D16" s="16" t="n">
        <v>100682</v>
      </c>
      <c r="E16" s="16" t="n">
        <v>124404</v>
      </c>
      <c r="F16" s="16" t="n">
        <v>108942</v>
      </c>
    </row>
    <row r="17" customFormat="false" ht="17.15" hidden="false" customHeight="false" outlineLevel="0" collapsed="false">
      <c r="A17" s="15" t="s">
        <v>251</v>
      </c>
      <c r="B17" s="16" t="n">
        <v>108400</v>
      </c>
      <c r="C17" s="16" t="n">
        <v>77122</v>
      </c>
      <c r="D17" s="16" t="n">
        <v>107343</v>
      </c>
      <c r="E17" s="16" t="n">
        <v>102231</v>
      </c>
      <c r="F17" s="16" t="n">
        <v>104805</v>
      </c>
    </row>
    <row r="18" customFormat="false" ht="17.15" hidden="false" customHeight="false" outlineLevel="0" collapsed="false">
      <c r="A18" s="15" t="s">
        <v>252</v>
      </c>
      <c r="B18" s="16" t="n">
        <v>101292</v>
      </c>
      <c r="C18" s="16" t="n">
        <v>89965</v>
      </c>
      <c r="D18" s="16" t="n">
        <v>85642</v>
      </c>
      <c r="E18" s="16" t="n">
        <v>89199</v>
      </c>
      <c r="F18" s="16" t="n">
        <v>124034</v>
      </c>
    </row>
    <row r="19" customFormat="false" ht="17.15" hidden="false" customHeight="false" outlineLevel="0" collapsed="false">
      <c r="A19" s="15" t="s">
        <v>253</v>
      </c>
      <c r="B19" s="16" t="n">
        <v>82236</v>
      </c>
      <c r="C19" s="16" t="n">
        <v>87156</v>
      </c>
      <c r="D19" s="16" t="n">
        <v>96474</v>
      </c>
      <c r="E19" s="16" t="n">
        <v>111155</v>
      </c>
      <c r="F19" s="16" t="n">
        <v>99838</v>
      </c>
    </row>
    <row r="20" customFormat="false" ht="17.15" hidden="false" customHeight="false" outlineLevel="0" collapsed="false">
      <c r="A20" s="15" t="s">
        <v>254</v>
      </c>
      <c r="B20" s="16" t="n">
        <v>65990</v>
      </c>
      <c r="C20" s="16" t="n">
        <v>72223</v>
      </c>
      <c r="D20" s="16" t="n">
        <v>62060</v>
      </c>
      <c r="E20" s="16" t="n">
        <v>82869</v>
      </c>
      <c r="F20" s="16" t="n">
        <v>73637</v>
      </c>
    </row>
    <row r="21" customFormat="false" ht="17.15" hidden="false" customHeight="false" outlineLevel="0" collapsed="false">
      <c r="A21" s="15" t="s">
        <v>255</v>
      </c>
      <c r="B21" s="16" t="n">
        <v>83948</v>
      </c>
      <c r="C21" s="16" t="n">
        <v>84841</v>
      </c>
      <c r="D21" s="16" t="n">
        <v>83554</v>
      </c>
      <c r="E21" s="16" t="n">
        <v>63793</v>
      </c>
      <c r="F21" s="16" t="n">
        <v>62013</v>
      </c>
    </row>
    <row r="22" customFormat="false" ht="17.15" hidden="false" customHeight="false" outlineLevel="0" collapsed="false">
      <c r="A22" s="15" t="s">
        <v>256</v>
      </c>
      <c r="B22" s="16" t="n">
        <v>77766</v>
      </c>
      <c r="C22" s="16" t="n">
        <v>74928</v>
      </c>
      <c r="D22" s="16" t="n">
        <v>79719</v>
      </c>
      <c r="E22" s="16" t="n">
        <v>67439</v>
      </c>
      <c r="F22" s="16" t="n">
        <v>80021</v>
      </c>
    </row>
    <row r="23" customFormat="false" ht="17.15" hidden="false" customHeight="false" outlineLevel="0" collapsed="false">
      <c r="A23" s="15" t="s">
        <v>257</v>
      </c>
      <c r="B23" s="16" t="n">
        <v>79478</v>
      </c>
      <c r="C23" s="16" t="n">
        <v>78119</v>
      </c>
      <c r="D23" s="16" t="n">
        <v>70035</v>
      </c>
      <c r="E23" s="16" t="n">
        <v>81758</v>
      </c>
      <c r="F23" s="16" t="n">
        <v>72762</v>
      </c>
    </row>
    <row r="24" customFormat="false" ht="17.15" hidden="false" customHeight="false" outlineLevel="0" collapsed="false">
      <c r="A24" s="4" t="s">
        <v>258</v>
      </c>
      <c r="B24" s="25" t="n">
        <f aca="false">SUM(B12:B23)</f>
        <v>1063907</v>
      </c>
      <c r="C24" s="25" t="n">
        <f aca="false">SUM(C12:C23)</f>
        <v>1052071</v>
      </c>
      <c r="D24" s="25" t="n">
        <f aca="false">SUM(D12:D23)</f>
        <v>1026938</v>
      </c>
      <c r="E24" s="25" t="n">
        <f aca="false">SUM(E12:E23)</f>
        <v>1036230</v>
      </c>
      <c r="F24" s="25" t="n">
        <f aca="false">SUM(F12:F23)</f>
        <v>1085233</v>
      </c>
    </row>
    <row r="25" customFormat="false" ht="17.15" hidden="false" customHeight="false" outlineLevel="0" collapsed="false">
      <c r="A25" s="6" t="s">
        <v>259</v>
      </c>
      <c r="B25" s="25" t="n">
        <f aca="false">B24/$B$8</f>
        <v>1275.66786570743</v>
      </c>
      <c r="C25" s="25" t="n">
        <f aca="false">C24/$B$8</f>
        <v>1261.47601918465</v>
      </c>
      <c r="D25" s="25" t="n">
        <f aca="false">D24/$B$8</f>
        <v>1231.34052757794</v>
      </c>
      <c r="E25" s="25" t="n">
        <f aca="false">E24/$B$8</f>
        <v>1242.48201438849</v>
      </c>
      <c r="F25" s="25" t="n">
        <f aca="false">F24/$B$8</f>
        <v>1301.23860911271</v>
      </c>
    </row>
    <row r="26" customFormat="false" ht="15" hidden="false" customHeight="false" outlineLevel="0" collapsed="false">
      <c r="A26" s="4" t="s">
        <v>260</v>
      </c>
      <c r="B26" s="26" t="n">
        <f aca="false">B24/($B$8*$B$9)</f>
        <v>0.14562418558304</v>
      </c>
      <c r="C26" s="26" t="n">
        <f aca="false">C24/($B$8*$B$9)</f>
        <v>0.14400411177907</v>
      </c>
      <c r="D26" s="26" t="n">
        <f aca="false">D24/($B$8*$B$9)</f>
        <v>0.140563987166431</v>
      </c>
      <c r="E26" s="26" t="n">
        <f aca="false">E24/($B$8*$B$9)</f>
        <v>0.14183584639138</v>
      </c>
      <c r="F26" s="26" t="n">
        <f aca="false">F24/($B$8*$B$9)</f>
        <v>0.148543220218346</v>
      </c>
    </row>
    <row r="29" customFormat="false" ht="17.15" hidden="false" customHeight="false" outlineLevel="0" collapsed="false">
      <c r="A29" s="6" t="s">
        <v>261</v>
      </c>
    </row>
    <row r="30" customFormat="false" ht="17.15" hidden="false" customHeight="false" outlineLevel="0" collapsed="false">
      <c r="A30" s="8" t="s">
        <v>262</v>
      </c>
      <c r="B30" s="9" t="s">
        <v>263</v>
      </c>
      <c r="C30" s="9" t="s">
        <v>264</v>
      </c>
    </row>
    <row r="31" customFormat="false" ht="17.15" hidden="false" customHeight="false" outlineLevel="0" collapsed="false">
      <c r="A31" s="15" t="s">
        <v>265</v>
      </c>
      <c r="B31" s="27" t="n">
        <v>0</v>
      </c>
      <c r="C31" s="27" t="n">
        <v>0</v>
      </c>
    </row>
    <row r="32" customFormat="false" ht="17.15" hidden="false" customHeight="false" outlineLevel="0" collapsed="false">
      <c r="A32" s="15" t="s">
        <v>266</v>
      </c>
      <c r="B32" s="27" t="n">
        <v>0</v>
      </c>
      <c r="C32" s="27" t="n">
        <v>0</v>
      </c>
    </row>
    <row r="33" customFormat="false" ht="17.15" hidden="false" customHeight="false" outlineLevel="0" collapsed="false">
      <c r="A33" s="15" t="s">
        <v>267</v>
      </c>
      <c r="B33" s="27" t="n">
        <v>0</v>
      </c>
      <c r="C33" s="27" t="n">
        <v>0</v>
      </c>
    </row>
    <row r="34" customFormat="false" ht="17.15" hidden="false" customHeight="false" outlineLevel="0" collapsed="false">
      <c r="A34" s="15" t="s">
        <v>268</v>
      </c>
      <c r="B34" s="27" t="n">
        <v>0</v>
      </c>
      <c r="C34" s="27" t="n">
        <v>0</v>
      </c>
    </row>
    <row r="35" customFormat="false" ht="17.15" hidden="false" customHeight="false" outlineLevel="0" collapsed="false">
      <c r="A35" s="15" t="s">
        <v>269</v>
      </c>
      <c r="B35" s="27" t="n">
        <v>0</v>
      </c>
      <c r="C35" s="27" t="n">
        <v>0</v>
      </c>
    </row>
    <row r="36" customFormat="false" ht="17.15" hidden="false" customHeight="false" outlineLevel="0" collapsed="false">
      <c r="A36" s="15" t="s">
        <v>270</v>
      </c>
      <c r="B36" s="27" t="n">
        <v>0</v>
      </c>
      <c r="C36" s="27" t="n">
        <v>0.5</v>
      </c>
    </row>
    <row r="37" customFormat="false" ht="17.15" hidden="false" customHeight="false" outlineLevel="0" collapsed="false">
      <c r="A37" s="15" t="s">
        <v>271</v>
      </c>
      <c r="B37" s="27" t="n">
        <v>0</v>
      </c>
      <c r="C37" s="27" t="n">
        <v>31.3</v>
      </c>
    </row>
    <row r="38" customFormat="false" ht="17.15" hidden="false" customHeight="false" outlineLevel="0" collapsed="false">
      <c r="A38" s="15" t="s">
        <v>272</v>
      </c>
      <c r="B38" s="27" t="n">
        <v>0.2</v>
      </c>
      <c r="C38" s="27" t="n">
        <v>130.2</v>
      </c>
    </row>
    <row r="39" customFormat="false" ht="17.15" hidden="false" customHeight="false" outlineLevel="0" collapsed="false">
      <c r="A39" s="15" t="s">
        <v>273</v>
      </c>
      <c r="B39" s="27" t="n">
        <v>57</v>
      </c>
      <c r="C39" s="27" t="n">
        <v>222.9</v>
      </c>
    </row>
    <row r="40" customFormat="false" ht="17.15" hidden="false" customHeight="false" outlineLevel="0" collapsed="false">
      <c r="A40" s="15" t="s">
        <v>274</v>
      </c>
      <c r="B40" s="27" t="n">
        <v>222</v>
      </c>
      <c r="C40" s="27" t="n">
        <v>353.8</v>
      </c>
    </row>
    <row r="41" customFormat="false" ht="17.15" hidden="false" customHeight="false" outlineLevel="0" collapsed="false">
      <c r="A41" s="15" t="s">
        <v>275</v>
      </c>
      <c r="B41" s="27" t="n">
        <v>374.8</v>
      </c>
      <c r="C41" s="27" t="n">
        <v>448.1</v>
      </c>
    </row>
    <row r="42" customFormat="false" ht="17.15" hidden="false" customHeight="false" outlineLevel="0" collapsed="false">
      <c r="A42" s="15" t="s">
        <v>276</v>
      </c>
      <c r="B42" s="27" t="n">
        <v>464.1</v>
      </c>
      <c r="C42" s="27" t="n">
        <v>519.8</v>
      </c>
    </row>
    <row r="43" customFormat="false" ht="17.15" hidden="false" customHeight="false" outlineLevel="0" collapsed="false">
      <c r="A43" s="15" t="s">
        <v>277</v>
      </c>
      <c r="B43" s="27" t="n">
        <v>477.8</v>
      </c>
      <c r="C43" s="27" t="n">
        <v>543.9</v>
      </c>
    </row>
    <row r="44" customFormat="false" ht="17.15" hidden="false" customHeight="false" outlineLevel="0" collapsed="false">
      <c r="A44" s="15" t="s">
        <v>278</v>
      </c>
      <c r="B44" s="27" t="n">
        <v>441.5</v>
      </c>
      <c r="C44" s="27" t="n">
        <v>515.1</v>
      </c>
    </row>
    <row r="45" customFormat="false" ht="17.15" hidden="false" customHeight="false" outlineLevel="0" collapsed="false">
      <c r="A45" s="15" t="s">
        <v>279</v>
      </c>
      <c r="B45" s="27" t="n">
        <v>377.1</v>
      </c>
      <c r="C45" s="27" t="n">
        <v>470.9</v>
      </c>
    </row>
    <row r="46" customFormat="false" ht="17.15" hidden="false" customHeight="false" outlineLevel="0" collapsed="false">
      <c r="A46" s="15" t="s">
        <v>280</v>
      </c>
      <c r="B46" s="27" t="n">
        <v>202.5</v>
      </c>
      <c r="C46" s="27" t="n">
        <v>367.7</v>
      </c>
    </row>
    <row r="47" customFormat="false" ht="17.15" hidden="false" customHeight="false" outlineLevel="0" collapsed="false">
      <c r="A47" s="15" t="s">
        <v>281</v>
      </c>
      <c r="B47" s="27" t="n">
        <v>57.9</v>
      </c>
      <c r="C47" s="27" t="n">
        <v>227.1</v>
      </c>
    </row>
    <row r="48" customFormat="false" ht="17.15" hidden="false" customHeight="false" outlineLevel="0" collapsed="false">
      <c r="A48" s="15" t="s">
        <v>282</v>
      </c>
      <c r="B48" s="27" t="n">
        <v>3.4</v>
      </c>
      <c r="C48" s="27" t="n">
        <v>127.6</v>
      </c>
    </row>
    <row r="49" customFormat="false" ht="17.15" hidden="false" customHeight="false" outlineLevel="0" collapsed="false">
      <c r="A49" s="15" t="s">
        <v>283</v>
      </c>
      <c r="B49" s="27" t="n">
        <v>0</v>
      </c>
      <c r="C49" s="27" t="n">
        <v>40.9</v>
      </c>
    </row>
    <row r="50" customFormat="false" ht="17.15" hidden="false" customHeight="false" outlineLevel="0" collapsed="false">
      <c r="A50" s="15" t="s">
        <v>284</v>
      </c>
      <c r="B50" s="27" t="n">
        <v>0</v>
      </c>
      <c r="C50" s="27" t="n">
        <v>1.3</v>
      </c>
    </row>
    <row r="51" customFormat="false" ht="17.15" hidden="false" customHeight="false" outlineLevel="0" collapsed="false">
      <c r="A51" s="15" t="s">
        <v>285</v>
      </c>
      <c r="B51" s="27" t="n">
        <v>0</v>
      </c>
      <c r="C51" s="27" t="n">
        <v>0</v>
      </c>
    </row>
    <row r="52" customFormat="false" ht="17.15" hidden="false" customHeight="false" outlineLevel="0" collapsed="false">
      <c r="A52" s="15" t="s">
        <v>286</v>
      </c>
      <c r="B52" s="27" t="n">
        <v>0</v>
      </c>
      <c r="C52" s="27" t="n">
        <v>0</v>
      </c>
    </row>
    <row r="53" customFormat="false" ht="17.15" hidden="false" customHeight="false" outlineLevel="0" collapsed="false">
      <c r="A53" s="15" t="s">
        <v>287</v>
      </c>
      <c r="B53" s="27" t="n">
        <v>0</v>
      </c>
      <c r="C53" s="27" t="n">
        <v>0</v>
      </c>
    </row>
    <row r="54" customFormat="false" ht="17.15" hidden="false" customHeight="false" outlineLevel="0" collapsed="false">
      <c r="A54" s="15" t="s">
        <v>288</v>
      </c>
      <c r="B54" s="27" t="n">
        <v>0</v>
      </c>
      <c r="C54" s="27" t="n">
        <v>0</v>
      </c>
    </row>
    <row r="55" customFormat="false" ht="15" hidden="false" customHeight="false" outlineLevel="0" collapsed="false">
      <c r="A55" s="22" t="s">
        <v>289</v>
      </c>
    </row>
    <row r="57" customFormat="false" ht="15" hidden="false" customHeight="false" outlineLevel="0" collapsed="false">
      <c r="A57" s="4" t="s">
        <v>199</v>
      </c>
    </row>
    <row r="58" customFormat="false" ht="30" hidden="false" customHeight="true" outlineLevel="0" collapsed="false">
      <c r="A58" s="21" t="s">
        <v>290</v>
      </c>
      <c r="B58" s="21"/>
      <c r="C58" s="21"/>
      <c r="D58" s="21"/>
      <c r="E58" s="21"/>
      <c r="F58" s="21"/>
      <c r="G58" s="21"/>
      <c r="H58" s="21"/>
    </row>
    <row r="59" customFormat="false" ht="30" hidden="false" customHeight="true" outlineLevel="0" collapsed="false">
      <c r="A59" s="21" t="s">
        <v>291</v>
      </c>
      <c r="B59" s="21"/>
      <c r="C59" s="21"/>
      <c r="D59" s="21"/>
      <c r="E59" s="21"/>
      <c r="F59" s="21"/>
      <c r="G59" s="21"/>
      <c r="H59" s="21"/>
    </row>
    <row r="60" customFormat="false" ht="30" hidden="false" customHeight="true" outlineLevel="0" collapsed="false">
      <c r="A60" s="21" t="s">
        <v>292</v>
      </c>
      <c r="B60" s="21"/>
      <c r="C60" s="21"/>
      <c r="D60" s="21"/>
      <c r="E60" s="21"/>
      <c r="F60" s="21"/>
      <c r="G60" s="21"/>
      <c r="H60" s="21"/>
    </row>
    <row r="62" customFormat="false" ht="15" hidden="false" customHeight="false" outlineLevel="0" collapsed="false">
      <c r="A62" s="4" t="s">
        <v>203</v>
      </c>
    </row>
    <row r="63" customFormat="false" ht="30" hidden="false" customHeight="true" outlineLevel="0" collapsed="false">
      <c r="A63" s="21" t="s">
        <v>293</v>
      </c>
      <c r="B63" s="21"/>
      <c r="C63" s="21"/>
      <c r="D63" s="21"/>
      <c r="E63" s="21"/>
      <c r="F63" s="21"/>
      <c r="G63" s="21"/>
      <c r="H63" s="21"/>
    </row>
    <row r="64" customFormat="false" ht="30" hidden="false" customHeight="true" outlineLevel="0" collapsed="false">
      <c r="A64" s="21" t="s">
        <v>294</v>
      </c>
      <c r="B64" s="21"/>
      <c r="C64" s="21"/>
      <c r="D64" s="21"/>
      <c r="E64" s="21"/>
      <c r="F64" s="21"/>
      <c r="G64" s="21"/>
      <c r="H64" s="21"/>
    </row>
    <row r="66" customFormat="false" ht="15" hidden="false" customHeight="false" outlineLevel="0" collapsed="false">
      <c r="A66" s="4" t="s">
        <v>207</v>
      </c>
    </row>
    <row r="67" customFormat="false" ht="30" hidden="false" customHeight="true" outlineLevel="0" collapsed="false">
      <c r="A67" s="21" t="s">
        <v>295</v>
      </c>
      <c r="B67" s="21"/>
      <c r="C67" s="21"/>
      <c r="D67" s="21"/>
      <c r="E67" s="21"/>
      <c r="F67" s="21"/>
      <c r="G67" s="21"/>
      <c r="H67" s="21"/>
    </row>
    <row r="68" customFormat="false" ht="30" hidden="false" customHeight="true" outlineLevel="0" collapsed="false">
      <c r="A68" s="23" t="s">
        <v>296</v>
      </c>
      <c r="B68" s="23"/>
      <c r="C68" s="23"/>
      <c r="D68" s="23"/>
      <c r="E68" s="23"/>
      <c r="F68" s="23"/>
      <c r="G68" s="23"/>
      <c r="H68" s="23"/>
    </row>
    <row r="69" customFormat="false" ht="30" hidden="false" customHeight="true" outlineLevel="0" collapsed="false">
      <c r="A69" s="23" t="s">
        <v>297</v>
      </c>
      <c r="B69" s="23"/>
      <c r="C69" s="23"/>
      <c r="D69" s="23"/>
      <c r="E69" s="23"/>
      <c r="F69" s="23"/>
      <c r="G69" s="23"/>
      <c r="H69" s="23"/>
    </row>
  </sheetData>
  <mergeCells count="13">
    <mergeCell ref="B2:H2"/>
    <mergeCell ref="B3:H3"/>
    <mergeCell ref="B4:H4"/>
    <mergeCell ref="B5:H5"/>
    <mergeCell ref="B6:H6"/>
    <mergeCell ref="A58:H58"/>
    <mergeCell ref="A59:H59"/>
    <mergeCell ref="A60:H60"/>
    <mergeCell ref="A63:H63"/>
    <mergeCell ref="A64:H64"/>
    <mergeCell ref="A67:H67"/>
    <mergeCell ref="A68:H68"/>
    <mergeCell ref="A69:H69"/>
  </mergeCells>
  <hyperlinks>
    <hyperlink ref="B5" r:id="rId1" display="한국남부발전(주)_부산역선상주차장 태양광발전실적(2020.8.15~2026.2.28)"/>
    <hyperlink ref="B6" r:id="rId2" display="한국남부발전(주)_태양광발전기 사양정보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298</v>
      </c>
    </row>
    <row r="2" customFormat="false" ht="17.15" hidden="false" customHeight="true" outlineLevel="0" collapsed="false">
      <c r="A2" s="4" t="s">
        <v>157</v>
      </c>
      <c r="B2" s="3" t="s">
        <v>299</v>
      </c>
      <c r="C2" s="3"/>
      <c r="D2" s="3"/>
      <c r="E2" s="3"/>
      <c r="F2" s="3"/>
      <c r="G2" s="3"/>
      <c r="H2" s="3"/>
    </row>
    <row r="3" customFormat="false" ht="17.15" hidden="false" customHeight="true" outlineLevel="0" collapsed="false">
      <c r="A3" s="4" t="s">
        <v>159</v>
      </c>
      <c r="B3" s="3" t="s">
        <v>300</v>
      </c>
      <c r="C3" s="3"/>
      <c r="D3" s="3"/>
      <c r="E3" s="3"/>
      <c r="F3" s="3"/>
      <c r="G3" s="3"/>
      <c r="H3" s="3"/>
    </row>
    <row r="4" customFormat="false" ht="17.15" hidden="false" customHeight="true" outlineLevel="0" collapsed="false">
      <c r="A4" s="4" t="s">
        <v>161</v>
      </c>
      <c r="B4" s="2" t="s">
        <v>301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302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303</v>
      </c>
      <c r="C6" s="13"/>
      <c r="D6" s="13"/>
      <c r="E6" s="13"/>
      <c r="F6" s="13"/>
      <c r="G6" s="13"/>
      <c r="H6" s="13"/>
    </row>
    <row r="8" customFormat="false" ht="31.5" hidden="false" customHeight="true" outlineLevel="0" collapsed="false">
      <c r="A8" s="2" t="s">
        <v>304</v>
      </c>
      <c r="B8" s="2"/>
      <c r="C8" s="2"/>
      <c r="D8" s="2"/>
      <c r="E8" s="2"/>
      <c r="F8" s="2"/>
      <c r="G8" s="2"/>
      <c r="H8" s="2"/>
    </row>
    <row r="9" customFormat="false" ht="31.5" hidden="false" customHeight="true" outlineLevel="0" collapsed="false">
      <c r="A9" s="3" t="s">
        <v>305</v>
      </c>
      <c r="B9" s="3"/>
      <c r="C9" s="3"/>
      <c r="D9" s="3"/>
      <c r="E9" s="3"/>
      <c r="F9" s="3"/>
      <c r="G9" s="3"/>
      <c r="H9" s="3"/>
    </row>
    <row r="10" customFormat="false" ht="31.5" hidden="false" customHeight="true" outlineLevel="0" collapsed="false">
      <c r="A10" s="2" t="s">
        <v>306</v>
      </c>
      <c r="B10" s="2"/>
      <c r="C10" s="2"/>
      <c r="D10" s="2"/>
      <c r="E10" s="2"/>
      <c r="F10" s="2"/>
      <c r="G10" s="2"/>
      <c r="H10" s="2"/>
    </row>
    <row r="11" customFormat="false" ht="31.5" hidden="false" customHeight="true" outlineLevel="0" collapsed="false">
      <c r="A11" s="2" t="s">
        <v>307</v>
      </c>
      <c r="B11" s="2"/>
      <c r="C11" s="2"/>
      <c r="D11" s="2"/>
      <c r="E11" s="2"/>
      <c r="F11" s="2"/>
      <c r="G11" s="2"/>
      <c r="H11" s="2"/>
    </row>
    <row r="13" customFormat="false" ht="15" hidden="false" customHeight="false" outlineLevel="0" collapsed="false">
      <c r="A13" s="4" t="s">
        <v>199</v>
      </c>
    </row>
    <row r="14" customFormat="false" ht="30" hidden="false" customHeight="true" outlineLevel="0" collapsed="false">
      <c r="A14" s="21" t="s">
        <v>308</v>
      </c>
      <c r="B14" s="21"/>
      <c r="C14" s="21"/>
      <c r="D14" s="21"/>
      <c r="E14" s="21"/>
      <c r="F14" s="21"/>
      <c r="G14" s="21"/>
      <c r="H14" s="21"/>
    </row>
    <row r="15" customFormat="false" ht="30" hidden="false" customHeight="true" outlineLevel="0" collapsed="false">
      <c r="A15" s="21" t="s">
        <v>309</v>
      </c>
      <c r="B15" s="21"/>
      <c r="C15" s="21"/>
      <c r="D15" s="21"/>
      <c r="E15" s="21"/>
      <c r="F15" s="21"/>
      <c r="G15" s="21"/>
      <c r="H15" s="21"/>
    </row>
    <row r="17" customFormat="false" ht="15" hidden="false" customHeight="false" outlineLevel="0" collapsed="false">
      <c r="A17" s="4" t="s">
        <v>203</v>
      </c>
    </row>
    <row r="18" customFormat="false" ht="30" hidden="false" customHeight="true" outlineLevel="0" collapsed="false">
      <c r="A18" s="21" t="s">
        <v>310</v>
      </c>
      <c r="B18" s="21"/>
      <c r="C18" s="21"/>
      <c r="D18" s="21"/>
      <c r="E18" s="21"/>
      <c r="F18" s="21"/>
      <c r="G18" s="21"/>
      <c r="H18" s="21"/>
    </row>
    <row r="19" customFormat="false" ht="30" hidden="false" customHeight="true" outlineLevel="0" collapsed="false">
      <c r="A19" s="21" t="s">
        <v>311</v>
      </c>
      <c r="B19" s="21"/>
      <c r="C19" s="21"/>
      <c r="D19" s="21"/>
      <c r="E19" s="21"/>
      <c r="F19" s="21"/>
      <c r="G19" s="21"/>
      <c r="H19" s="21"/>
    </row>
    <row r="21" customFormat="false" ht="15" hidden="false" customHeight="false" outlineLevel="0" collapsed="false">
      <c r="A21" s="4" t="s">
        <v>207</v>
      </c>
    </row>
    <row r="22" customFormat="false" ht="30" hidden="false" customHeight="true" outlineLevel="0" collapsed="false">
      <c r="A22" s="21" t="s">
        <v>312</v>
      </c>
      <c r="B22" s="21"/>
      <c r="C22" s="21"/>
      <c r="D22" s="21"/>
      <c r="E22" s="21"/>
      <c r="F22" s="21"/>
      <c r="G22" s="21"/>
      <c r="H22" s="21"/>
    </row>
    <row r="23" customFormat="false" ht="30" hidden="false" customHeight="true" outlineLevel="0" collapsed="false">
      <c r="A23" s="23" t="s">
        <v>313</v>
      </c>
      <c r="B23" s="23"/>
      <c r="C23" s="23"/>
      <c r="D23" s="23"/>
      <c r="E23" s="23"/>
      <c r="F23" s="23"/>
      <c r="G23" s="23"/>
      <c r="H23" s="23"/>
    </row>
  </sheetData>
  <mergeCells count="15">
    <mergeCell ref="B2:H2"/>
    <mergeCell ref="B3:H3"/>
    <mergeCell ref="B4:H4"/>
    <mergeCell ref="B5:H5"/>
    <mergeCell ref="B6:H6"/>
    <mergeCell ref="A8:H8"/>
    <mergeCell ref="A9:H9"/>
    <mergeCell ref="A10:H10"/>
    <mergeCell ref="A11:H11"/>
    <mergeCell ref="A14:H14"/>
    <mergeCell ref="A15:H15"/>
    <mergeCell ref="A18:H18"/>
    <mergeCell ref="A19:H19"/>
    <mergeCell ref="A22:H22"/>
    <mergeCell ref="A23:H23"/>
  </mergeCells>
  <hyperlinks>
    <hyperlink ref="B5" r:id="rId1" display="노컷뉴스(부산CBS), 2021.6.15. 부산 해상풍력 주민 반대"/>
    <hyperlink ref="B6" r:id="rId2" display="부산광역시 누리집, 수소연료전지 안전성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8"/>
    <col collapsed="false" customWidth="true" hidden="false" outlineLevel="0" max="5" min="5" style="0" width="4"/>
    <col collapsed="false" customWidth="true" hidden="false" outlineLevel="0" max="8" min="6" style="0" width="12"/>
  </cols>
  <sheetData>
    <row r="1" customFormat="false" ht="21.6" hidden="false" customHeight="false" outlineLevel="0" collapsed="false">
      <c r="A1" s="1" t="s">
        <v>314</v>
      </c>
    </row>
    <row r="2" customFormat="false" ht="17.15" hidden="false" customHeight="true" outlineLevel="0" collapsed="false">
      <c r="A2" s="4" t="s">
        <v>157</v>
      </c>
      <c r="B2" s="3" t="s">
        <v>315</v>
      </c>
      <c r="C2" s="3"/>
      <c r="D2" s="3"/>
      <c r="E2" s="3"/>
      <c r="F2" s="3"/>
      <c r="G2" s="3"/>
      <c r="H2" s="3"/>
    </row>
    <row r="3" customFormat="false" ht="17.15" hidden="false" customHeight="true" outlineLevel="0" collapsed="false">
      <c r="A3" s="4" t="s">
        <v>159</v>
      </c>
      <c r="B3" s="3" t="s">
        <v>316</v>
      </c>
      <c r="C3" s="3"/>
      <c r="D3" s="3"/>
      <c r="E3" s="3"/>
      <c r="F3" s="3"/>
      <c r="G3" s="3"/>
      <c r="H3" s="3"/>
    </row>
    <row r="4" customFormat="false" ht="32.8" hidden="false" customHeight="true" outlineLevel="0" collapsed="false">
      <c r="A4" s="4" t="s">
        <v>161</v>
      </c>
      <c r="B4" s="2" t="s">
        <v>317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318</v>
      </c>
      <c r="C5" s="13"/>
      <c r="D5" s="13"/>
      <c r="E5" s="13"/>
      <c r="F5" s="13"/>
      <c r="G5" s="13"/>
      <c r="H5" s="13"/>
    </row>
    <row r="7" customFormat="false" ht="17.15" hidden="false" customHeight="false" outlineLevel="0" collapsed="false">
      <c r="A7" s="8" t="s">
        <v>240</v>
      </c>
      <c r="B7" s="8" t="s">
        <v>319</v>
      </c>
      <c r="C7" s="8" t="s">
        <v>320</v>
      </c>
      <c r="D7" s="8" t="s">
        <v>321</v>
      </c>
    </row>
    <row r="8" customFormat="false" ht="17.15" hidden="false" customHeight="false" outlineLevel="0" collapsed="false">
      <c r="A8" s="15" t="s">
        <v>246</v>
      </c>
      <c r="B8" s="16" t="n">
        <v>1361391267</v>
      </c>
      <c r="C8" s="16" t="n">
        <v>540327538</v>
      </c>
      <c r="D8" s="28" t="n">
        <f aca="false">B8+C8</f>
        <v>1901718805</v>
      </c>
    </row>
    <row r="9" customFormat="false" ht="17.15" hidden="false" customHeight="false" outlineLevel="0" collapsed="false">
      <c r="A9" s="15" t="s">
        <v>247</v>
      </c>
      <c r="B9" s="16" t="n">
        <v>1330081880</v>
      </c>
      <c r="C9" s="16" t="n">
        <v>543737339</v>
      </c>
      <c r="D9" s="28" t="n">
        <f aca="false">B9+C9</f>
        <v>1873819219</v>
      </c>
    </row>
    <row r="10" customFormat="false" ht="17.15" hidden="false" customHeight="false" outlineLevel="0" collapsed="false">
      <c r="A10" s="15" t="s">
        <v>248</v>
      </c>
      <c r="B10" s="16" t="n">
        <v>1275954471</v>
      </c>
      <c r="C10" s="16" t="n">
        <v>474172634</v>
      </c>
      <c r="D10" s="28" t="n">
        <f aca="false">B10+C10</f>
        <v>1750127105</v>
      </c>
    </row>
    <row r="11" customFormat="false" ht="17.15" hidden="false" customHeight="false" outlineLevel="0" collapsed="false">
      <c r="A11" s="15" t="s">
        <v>249</v>
      </c>
      <c r="B11" s="16" t="n">
        <v>1255492164</v>
      </c>
      <c r="C11" s="16" t="n">
        <v>449618001</v>
      </c>
      <c r="D11" s="28" t="n">
        <f aca="false">B11+C11</f>
        <v>1705110165</v>
      </c>
    </row>
    <row r="12" customFormat="false" ht="17.15" hidden="false" customHeight="false" outlineLevel="0" collapsed="false">
      <c r="A12" s="15" t="s">
        <v>250</v>
      </c>
      <c r="B12" s="16" t="n">
        <v>1196183526</v>
      </c>
      <c r="C12" s="16" t="n">
        <v>404066498</v>
      </c>
      <c r="D12" s="28" t="n">
        <f aca="false">B12+C12</f>
        <v>1600250024</v>
      </c>
    </row>
    <row r="13" customFormat="false" ht="17.15" hidden="false" customHeight="false" outlineLevel="0" collapsed="false">
      <c r="A13" s="15" t="s">
        <v>251</v>
      </c>
      <c r="B13" s="16" t="n">
        <v>1267916346</v>
      </c>
      <c r="C13" s="16" t="n">
        <v>427067453</v>
      </c>
      <c r="D13" s="28" t="n">
        <f aca="false">B13+C13</f>
        <v>1694983799</v>
      </c>
    </row>
    <row r="14" customFormat="false" ht="17.15" hidden="false" customHeight="false" outlineLevel="0" collapsed="false">
      <c r="A14" s="15" t="s">
        <v>252</v>
      </c>
      <c r="B14" s="16" t="n">
        <v>1485107130</v>
      </c>
      <c r="C14" s="16" t="n">
        <v>524174509</v>
      </c>
      <c r="D14" s="28" t="n">
        <f aca="false">B14+C14</f>
        <v>2009281639</v>
      </c>
    </row>
    <row r="15" customFormat="false" ht="17.15" hidden="false" customHeight="false" outlineLevel="0" collapsed="false">
      <c r="A15" s="15" t="s">
        <v>253</v>
      </c>
      <c r="B15" s="16" t="n">
        <v>1594535800</v>
      </c>
      <c r="C15" s="16" t="n">
        <v>627955869</v>
      </c>
      <c r="D15" s="28" t="n">
        <f aca="false">B15+C15</f>
        <v>2222491669</v>
      </c>
    </row>
    <row r="16" customFormat="false" ht="17.15" hidden="false" customHeight="false" outlineLevel="0" collapsed="false">
      <c r="A16" s="15" t="s">
        <v>254</v>
      </c>
      <c r="B16" s="16" t="n">
        <v>1596714320</v>
      </c>
      <c r="C16" s="16" t="n">
        <v>629812724</v>
      </c>
      <c r="D16" s="28" t="n">
        <f aca="false">B16+C16</f>
        <v>2226527044</v>
      </c>
    </row>
    <row r="17" customFormat="false" ht="17.15" hidden="false" customHeight="false" outlineLevel="0" collapsed="false">
      <c r="A17" s="15" t="s">
        <v>255</v>
      </c>
      <c r="B17" s="16" t="n">
        <v>1274725178</v>
      </c>
      <c r="C17" s="16" t="n">
        <v>470170128</v>
      </c>
      <c r="D17" s="28" t="n">
        <f aca="false">B17+C17</f>
        <v>1744895306</v>
      </c>
    </row>
    <row r="18" customFormat="false" ht="17.15" hidden="false" customHeight="false" outlineLevel="0" collapsed="false">
      <c r="A18" s="15" t="s">
        <v>256</v>
      </c>
      <c r="B18" s="16" t="n">
        <v>1231658485</v>
      </c>
      <c r="C18" s="16" t="n">
        <v>427443747</v>
      </c>
      <c r="D18" s="28" t="n">
        <f aca="false">B18+C18</f>
        <v>1659102232</v>
      </c>
    </row>
    <row r="19" customFormat="false" ht="17.15" hidden="false" customHeight="false" outlineLevel="0" collapsed="false">
      <c r="A19" s="15" t="s">
        <v>257</v>
      </c>
      <c r="B19" s="16" t="n">
        <v>1312891989</v>
      </c>
      <c r="C19" s="16" t="n">
        <v>456778072</v>
      </c>
      <c r="D19" s="28" t="n">
        <f aca="false">B19+C19</f>
        <v>1769670061</v>
      </c>
    </row>
    <row r="20" customFormat="false" ht="15" hidden="false" customHeight="false" outlineLevel="0" collapsed="false">
      <c r="A20" s="4" t="s">
        <v>322</v>
      </c>
      <c r="B20" s="25" t="n">
        <f aca="false">SUM(B8:B19)</f>
        <v>16182652556</v>
      </c>
      <c r="C20" s="25" t="n">
        <f aca="false">SUM(C8:C19)</f>
        <v>5975324512</v>
      </c>
      <c r="D20" s="25" t="n">
        <f aca="false">SUM(D8:D19)</f>
        <v>22157977068</v>
      </c>
    </row>
    <row r="21" customFormat="false" ht="17.15" hidden="false" customHeight="false" outlineLevel="0" collapsed="false">
      <c r="A21" s="4" t="s">
        <v>323</v>
      </c>
      <c r="B21" s="19" t="n">
        <f aca="false">B20/1000000</f>
        <v>16182.652556</v>
      </c>
      <c r="C21" s="19" t="n">
        <f aca="false">C20/1000000</f>
        <v>5975.324512</v>
      </c>
      <c r="D21" s="19" t="n">
        <f aca="false">D20/1000000</f>
        <v>22157.977068</v>
      </c>
    </row>
    <row r="22" customFormat="false" ht="15" hidden="false" customHeight="false" outlineLevel="0" collapsed="false">
      <c r="A22" s="4" t="s">
        <v>324</v>
      </c>
      <c r="B22" s="20" t="n">
        <f aca="false">B20/D20</f>
        <v>0.73033077461618</v>
      </c>
    </row>
    <row r="23" customFormat="false" ht="17.15" hidden="false" customHeight="false" outlineLevel="0" collapsed="false">
      <c r="A23" s="6" t="s">
        <v>325</v>
      </c>
      <c r="B23" s="29" t="n">
        <v>48396</v>
      </c>
      <c r="C23" s="29" t="n">
        <v>1244055</v>
      </c>
    </row>
    <row r="26" customFormat="false" ht="15" hidden="false" customHeight="false" outlineLevel="0" collapsed="false">
      <c r="A26" s="4" t="s">
        <v>199</v>
      </c>
    </row>
    <row r="27" customFormat="false" ht="30" hidden="false" customHeight="true" outlineLevel="0" collapsed="false">
      <c r="A27" s="23" t="s">
        <v>326</v>
      </c>
      <c r="B27" s="23"/>
      <c r="C27" s="23"/>
      <c r="D27" s="23"/>
      <c r="E27" s="23"/>
      <c r="F27" s="23"/>
      <c r="G27" s="23"/>
      <c r="H27" s="23"/>
    </row>
    <row r="28" customFormat="false" ht="30" hidden="false" customHeight="true" outlineLevel="0" collapsed="false">
      <c r="A28" s="21" t="s">
        <v>327</v>
      </c>
      <c r="B28" s="21"/>
      <c r="C28" s="21"/>
      <c r="D28" s="21"/>
      <c r="E28" s="21"/>
      <c r="F28" s="21"/>
      <c r="G28" s="21"/>
      <c r="H28" s="21"/>
    </row>
    <row r="30" customFormat="false" ht="15" hidden="false" customHeight="false" outlineLevel="0" collapsed="false">
      <c r="A30" s="4" t="s">
        <v>203</v>
      </c>
    </row>
    <row r="31" customFormat="false" ht="30" hidden="false" customHeight="true" outlineLevel="0" collapsed="false">
      <c r="A31" s="21" t="s">
        <v>328</v>
      </c>
      <c r="B31" s="21"/>
      <c r="C31" s="21"/>
      <c r="D31" s="21"/>
      <c r="E31" s="21"/>
      <c r="F31" s="21"/>
      <c r="G31" s="21"/>
      <c r="H31" s="21"/>
    </row>
    <row r="32" customFormat="false" ht="30" hidden="false" customHeight="true" outlineLevel="0" collapsed="false">
      <c r="A32" s="21" t="s">
        <v>329</v>
      </c>
      <c r="B32" s="21"/>
      <c r="C32" s="21"/>
      <c r="D32" s="21"/>
      <c r="E32" s="21"/>
      <c r="F32" s="21"/>
      <c r="G32" s="21"/>
      <c r="H32" s="21"/>
    </row>
    <row r="34" customFormat="false" ht="15" hidden="false" customHeight="false" outlineLevel="0" collapsed="false">
      <c r="A34" s="4" t="s">
        <v>207</v>
      </c>
    </row>
    <row r="35" customFormat="false" ht="30" hidden="false" customHeight="true" outlineLevel="0" collapsed="false">
      <c r="A35" s="21" t="s">
        <v>330</v>
      </c>
      <c r="B35" s="21"/>
      <c r="C35" s="21"/>
      <c r="D35" s="21"/>
      <c r="E35" s="21"/>
      <c r="F35" s="21"/>
      <c r="G35" s="21"/>
      <c r="H35" s="21"/>
    </row>
    <row r="36" customFormat="false" ht="30" hidden="false" customHeight="true" outlineLevel="0" collapsed="false">
      <c r="A36" s="23" t="s">
        <v>331</v>
      </c>
      <c r="B36" s="23"/>
      <c r="C36" s="23"/>
      <c r="D36" s="23"/>
      <c r="E36" s="23"/>
      <c r="F36" s="23"/>
      <c r="G36" s="23"/>
      <c r="H36" s="23"/>
    </row>
  </sheetData>
  <mergeCells count="10">
    <mergeCell ref="B2:H2"/>
    <mergeCell ref="B3:H3"/>
    <mergeCell ref="B4:H4"/>
    <mergeCell ref="B5:H5"/>
    <mergeCell ref="A27:H27"/>
    <mergeCell ref="A28:H28"/>
    <mergeCell ref="A31:H31"/>
    <mergeCell ref="A32:H32"/>
    <mergeCell ref="A35:H35"/>
    <mergeCell ref="A36:H36"/>
  </mergeCells>
  <hyperlinks>
    <hyperlink ref="B5" r:id="rId1" display="한국전력공사_시도별 공급전압별 판매실적(2025.12.31 기준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332</v>
      </c>
    </row>
    <row r="2" customFormat="false" ht="17.15" hidden="false" customHeight="true" outlineLevel="0" collapsed="false">
      <c r="A2" s="4" t="s">
        <v>157</v>
      </c>
      <c r="B2" s="2" t="s">
        <v>333</v>
      </c>
      <c r="C2" s="2"/>
      <c r="D2" s="2"/>
      <c r="E2" s="2"/>
      <c r="F2" s="2"/>
      <c r="G2" s="2"/>
      <c r="H2" s="2"/>
    </row>
    <row r="3" customFormat="false" ht="17.15" hidden="false" customHeight="true" outlineLevel="0" collapsed="false">
      <c r="A3" s="4" t="s">
        <v>159</v>
      </c>
      <c r="B3" s="2" t="s">
        <v>334</v>
      </c>
      <c r="C3" s="2"/>
      <c r="D3" s="2"/>
      <c r="E3" s="2"/>
      <c r="F3" s="2"/>
      <c r="G3" s="2"/>
      <c r="H3" s="2"/>
    </row>
    <row r="4" customFormat="false" ht="32.8" hidden="false" customHeight="true" outlineLevel="0" collapsed="false">
      <c r="A4" s="4" t="s">
        <v>161</v>
      </c>
      <c r="B4" s="2" t="s">
        <v>335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336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337</v>
      </c>
      <c r="C6" s="13"/>
      <c r="D6" s="13"/>
      <c r="E6" s="13"/>
      <c r="F6" s="13"/>
      <c r="G6" s="13"/>
      <c r="H6" s="13"/>
    </row>
    <row r="8" customFormat="false" ht="17.15" hidden="false" customHeight="false" outlineLevel="0" collapsed="false">
      <c r="A8" s="8" t="s">
        <v>240</v>
      </c>
      <c r="B8" s="8" t="s">
        <v>338</v>
      </c>
      <c r="C8" s="8" t="s">
        <v>339</v>
      </c>
    </row>
    <row r="9" customFormat="false" ht="17.15" hidden="false" customHeight="false" outlineLevel="0" collapsed="false">
      <c r="A9" s="15" t="s">
        <v>246</v>
      </c>
      <c r="B9" s="16" t="n">
        <v>1017947</v>
      </c>
      <c r="C9" s="16" t="n">
        <v>34306</v>
      </c>
    </row>
    <row r="10" customFormat="false" ht="17.15" hidden="false" customHeight="false" outlineLevel="0" collapsed="false">
      <c r="A10" s="15" t="s">
        <v>247</v>
      </c>
      <c r="B10" s="16" t="n">
        <v>893751</v>
      </c>
      <c r="C10" s="16" t="n">
        <v>18324</v>
      </c>
    </row>
    <row r="11" customFormat="false" ht="17.15" hidden="false" customHeight="false" outlineLevel="0" collapsed="false">
      <c r="A11" s="15" t="s">
        <v>248</v>
      </c>
      <c r="B11" s="16" t="n">
        <v>925138</v>
      </c>
      <c r="C11" s="16" t="n">
        <v>12831</v>
      </c>
    </row>
    <row r="12" customFormat="false" ht="17.15" hidden="false" customHeight="false" outlineLevel="0" collapsed="false">
      <c r="A12" s="15" t="s">
        <v>249</v>
      </c>
      <c r="B12" s="16" t="n">
        <v>865606</v>
      </c>
      <c r="C12" s="16" t="n">
        <v>8140</v>
      </c>
    </row>
    <row r="13" customFormat="false" ht="17.15" hidden="false" customHeight="false" outlineLevel="0" collapsed="false">
      <c r="A13" s="15" t="s">
        <v>250</v>
      </c>
      <c r="B13" s="16" t="n">
        <v>929584</v>
      </c>
      <c r="C13" s="16" t="n">
        <v>7408</v>
      </c>
    </row>
    <row r="14" customFormat="false" ht="17.15" hidden="false" customHeight="false" outlineLevel="0" collapsed="false">
      <c r="A14" s="15" t="s">
        <v>251</v>
      </c>
      <c r="B14" s="16" t="n">
        <v>1115212</v>
      </c>
      <c r="C14" s="16" t="n">
        <v>12316</v>
      </c>
    </row>
    <row r="15" customFormat="false" ht="17.15" hidden="false" customHeight="false" outlineLevel="0" collapsed="false">
      <c r="A15" s="15" t="s">
        <v>252</v>
      </c>
      <c r="B15" s="16" t="n">
        <v>1361460</v>
      </c>
      <c r="C15" s="16" t="n">
        <v>26360</v>
      </c>
    </row>
    <row r="16" customFormat="false" ht="17.15" hidden="false" customHeight="false" outlineLevel="0" collapsed="false">
      <c r="A16" s="15" t="s">
        <v>253</v>
      </c>
      <c r="B16" s="16" t="n">
        <v>1445503</v>
      </c>
      <c r="C16" s="16" t="n">
        <v>38962</v>
      </c>
    </row>
    <row r="17" customFormat="false" ht="17.15" hidden="false" customHeight="false" outlineLevel="0" collapsed="false">
      <c r="A17" s="15" t="s">
        <v>254</v>
      </c>
      <c r="B17" s="16" t="n">
        <v>1259064</v>
      </c>
      <c r="C17" s="16" t="n">
        <v>20471</v>
      </c>
    </row>
    <row r="18" customFormat="false" ht="17.15" hidden="false" customHeight="false" outlineLevel="0" collapsed="false">
      <c r="A18" s="15" t="s">
        <v>255</v>
      </c>
      <c r="B18" s="16" t="n">
        <v>1007744</v>
      </c>
      <c r="C18" s="16" t="n">
        <v>6803</v>
      </c>
    </row>
    <row r="19" customFormat="false" ht="17.15" hidden="false" customHeight="false" outlineLevel="0" collapsed="false">
      <c r="A19" s="15" t="s">
        <v>256</v>
      </c>
      <c r="B19" s="16" t="n">
        <v>889789</v>
      </c>
      <c r="C19" s="16" t="n">
        <v>8339</v>
      </c>
    </row>
    <row r="20" customFormat="false" ht="17.15" hidden="false" customHeight="false" outlineLevel="0" collapsed="false">
      <c r="A20" s="15" t="s">
        <v>257</v>
      </c>
      <c r="B20" s="16" t="n">
        <v>987412</v>
      </c>
      <c r="C20" s="16" t="n">
        <v>26155</v>
      </c>
    </row>
    <row r="21" customFormat="false" ht="15" hidden="false" customHeight="false" outlineLevel="0" collapsed="false">
      <c r="A21" s="4" t="s">
        <v>198</v>
      </c>
      <c r="B21" s="25" t="n">
        <f aca="false">SUM(B9:B20)</f>
        <v>12698210</v>
      </c>
      <c r="C21" s="25" t="n">
        <f aca="false">SUM(C9:C20)</f>
        <v>220415</v>
      </c>
    </row>
    <row r="22" customFormat="false" ht="15" hidden="false" customHeight="false" outlineLevel="0" collapsed="false">
      <c r="A22" s="4" t="s">
        <v>340</v>
      </c>
      <c r="B22" s="19" t="n">
        <f aca="false">AVERAGE(B9:B20)</f>
        <v>1058184.16666667</v>
      </c>
      <c r="C22" s="19" t="n">
        <f aca="false">AVERAGE(C9:C20)</f>
        <v>18367.9166666667</v>
      </c>
    </row>
    <row r="24" customFormat="false" ht="45" hidden="false" customHeight="true" outlineLevel="0" collapsed="false">
      <c r="A24" s="2" t="s">
        <v>341</v>
      </c>
      <c r="B24" s="2"/>
      <c r="C24" s="2"/>
    </row>
    <row r="25" customFormat="false" ht="45" hidden="false" customHeight="true" outlineLevel="0" collapsed="false">
      <c r="A25" s="2" t="s">
        <v>342</v>
      </c>
      <c r="B25" s="2"/>
      <c r="C25" s="2"/>
    </row>
    <row r="42" customFormat="false" ht="15" hidden="false" customHeight="false" outlineLevel="0" collapsed="false">
      <c r="A42" s="4" t="s">
        <v>199</v>
      </c>
    </row>
    <row r="43" customFormat="false" ht="30" hidden="false" customHeight="true" outlineLevel="0" collapsed="false">
      <c r="A43" s="21" t="s">
        <v>343</v>
      </c>
      <c r="B43" s="21"/>
      <c r="C43" s="21"/>
      <c r="D43" s="21"/>
      <c r="E43" s="21"/>
      <c r="F43" s="21"/>
      <c r="G43" s="21"/>
      <c r="H43" s="21"/>
    </row>
    <row r="44" customFormat="false" ht="30" hidden="false" customHeight="true" outlineLevel="0" collapsed="false">
      <c r="A44" s="21" t="s">
        <v>344</v>
      </c>
      <c r="B44" s="21"/>
      <c r="C44" s="21"/>
      <c r="D44" s="21"/>
      <c r="E44" s="21"/>
      <c r="F44" s="21"/>
      <c r="G44" s="21"/>
      <c r="H44" s="21"/>
    </row>
    <row r="46" customFormat="false" ht="15" hidden="false" customHeight="false" outlineLevel="0" collapsed="false">
      <c r="A46" s="4" t="s">
        <v>203</v>
      </c>
    </row>
    <row r="47" customFormat="false" ht="30" hidden="false" customHeight="true" outlineLevel="0" collapsed="false">
      <c r="A47" s="21" t="s">
        <v>345</v>
      </c>
      <c r="B47" s="21"/>
      <c r="C47" s="21"/>
      <c r="D47" s="21"/>
      <c r="E47" s="21"/>
      <c r="F47" s="21"/>
      <c r="G47" s="21"/>
      <c r="H47" s="21"/>
    </row>
    <row r="48" customFormat="false" ht="30" hidden="false" customHeight="true" outlineLevel="0" collapsed="false">
      <c r="A48" s="21" t="s">
        <v>346</v>
      </c>
      <c r="B48" s="21"/>
      <c r="C48" s="21"/>
      <c r="D48" s="21"/>
      <c r="E48" s="21"/>
      <c r="F48" s="21"/>
      <c r="G48" s="21"/>
      <c r="H48" s="21"/>
    </row>
    <row r="50" customFormat="false" ht="15" hidden="false" customHeight="false" outlineLevel="0" collapsed="false">
      <c r="A50" s="4" t="s">
        <v>207</v>
      </c>
    </row>
    <row r="51" customFormat="false" ht="30" hidden="false" customHeight="true" outlineLevel="0" collapsed="false">
      <c r="A51" s="21" t="s">
        <v>347</v>
      </c>
      <c r="B51" s="21"/>
      <c r="C51" s="21"/>
      <c r="D51" s="21"/>
      <c r="E51" s="21"/>
      <c r="F51" s="21"/>
      <c r="G51" s="21"/>
      <c r="H51" s="21"/>
    </row>
    <row r="52" customFormat="false" ht="30" hidden="false" customHeight="true" outlineLevel="0" collapsed="false">
      <c r="A52" s="21" t="s">
        <v>348</v>
      </c>
      <c r="B52" s="21"/>
      <c r="C52" s="21"/>
      <c r="D52" s="21"/>
      <c r="E52" s="21"/>
      <c r="F52" s="21"/>
      <c r="G52" s="21"/>
      <c r="H52" s="21"/>
    </row>
  </sheetData>
  <mergeCells count="13">
    <mergeCell ref="B2:H2"/>
    <mergeCell ref="B3:H3"/>
    <mergeCell ref="B4:H4"/>
    <mergeCell ref="B5:H5"/>
    <mergeCell ref="B6:H6"/>
    <mergeCell ref="A24:C24"/>
    <mergeCell ref="A25:C25"/>
    <mergeCell ref="A43:H43"/>
    <mergeCell ref="A44:H44"/>
    <mergeCell ref="A47:H47"/>
    <mergeCell ref="A48:H48"/>
    <mergeCell ref="A51:H51"/>
    <mergeCell ref="A52:H52"/>
  </mergeCells>
  <hyperlinks>
    <hyperlink ref="B5" r:id="rId1" display="부산광역시_공공기관 온실가스 배출량 현황(시설별, 파일 기준일 2025.12.31)"/>
    <hyperlink ref="B6" r:id="rId2" display="부산광역시 누리집, 전략2 에너지 효율화·수요관리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349</v>
      </c>
    </row>
    <row r="2" customFormat="false" ht="17.15" hidden="false" customHeight="true" outlineLevel="0" collapsed="false">
      <c r="A2" s="4" t="s">
        <v>157</v>
      </c>
      <c r="B2" s="2" t="s">
        <v>350</v>
      </c>
      <c r="C2" s="2"/>
      <c r="D2" s="2"/>
      <c r="E2" s="2"/>
      <c r="F2" s="2"/>
      <c r="G2" s="2"/>
      <c r="H2" s="2"/>
    </row>
    <row r="3" customFormat="false" ht="17.15" hidden="false" customHeight="true" outlineLevel="0" collapsed="false">
      <c r="A3" s="4" t="s">
        <v>159</v>
      </c>
      <c r="B3" s="2" t="s">
        <v>351</v>
      </c>
      <c r="C3" s="2"/>
      <c r="D3" s="2"/>
      <c r="E3" s="2"/>
      <c r="F3" s="2"/>
      <c r="G3" s="2"/>
      <c r="H3" s="2"/>
    </row>
    <row r="4" customFormat="false" ht="32.8" hidden="false" customHeight="true" outlineLevel="0" collapsed="false">
      <c r="A4" s="4" t="s">
        <v>161</v>
      </c>
      <c r="B4" s="2" t="s">
        <v>352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353</v>
      </c>
      <c r="C5" s="13"/>
      <c r="D5" s="13"/>
      <c r="E5" s="13"/>
      <c r="F5" s="13"/>
      <c r="G5" s="13"/>
      <c r="H5" s="13"/>
    </row>
    <row r="7" customFormat="false" ht="17.15" hidden="false" customHeight="false" outlineLevel="0" collapsed="false">
      <c r="A7" s="8" t="s">
        <v>354</v>
      </c>
      <c r="B7" s="8" t="s">
        <v>355</v>
      </c>
      <c r="C7" s="8" t="s">
        <v>356</v>
      </c>
    </row>
    <row r="8" customFormat="false" ht="17.15" hidden="false" customHeight="false" outlineLevel="0" collapsed="false">
      <c r="A8" s="14" t="s">
        <v>357</v>
      </c>
      <c r="B8" s="15" t="s">
        <v>358</v>
      </c>
      <c r="C8" s="16" t="n">
        <v>240</v>
      </c>
    </row>
    <row r="9" customFormat="false" ht="17.15" hidden="false" customHeight="false" outlineLevel="0" collapsed="false">
      <c r="A9" s="14" t="s">
        <v>357</v>
      </c>
      <c r="B9" s="15" t="s">
        <v>359</v>
      </c>
      <c r="C9" s="16" t="n">
        <v>395</v>
      </c>
    </row>
    <row r="10" customFormat="false" ht="17.15" hidden="false" customHeight="false" outlineLevel="0" collapsed="false">
      <c r="A10" s="14" t="s">
        <v>360</v>
      </c>
      <c r="B10" s="15" t="s">
        <v>361</v>
      </c>
      <c r="C10" s="16" t="n">
        <v>220</v>
      </c>
    </row>
    <row r="11" customFormat="false" ht="17.15" hidden="false" customHeight="false" outlineLevel="0" collapsed="false">
      <c r="A11" s="14" t="s">
        <v>360</v>
      </c>
      <c r="B11" s="15" t="s">
        <v>359</v>
      </c>
      <c r="C11" s="16" t="n">
        <v>355</v>
      </c>
    </row>
    <row r="12" customFormat="false" ht="17.15" hidden="false" customHeight="false" outlineLevel="0" collapsed="false">
      <c r="A12" s="14" t="s">
        <v>360</v>
      </c>
      <c r="B12" s="15" t="s">
        <v>362</v>
      </c>
      <c r="C12" s="16" t="n">
        <v>25</v>
      </c>
    </row>
    <row r="13" customFormat="false" ht="17.15" hidden="false" customHeight="false" outlineLevel="0" collapsed="false">
      <c r="A13" s="14" t="s">
        <v>360</v>
      </c>
      <c r="B13" s="15" t="s">
        <v>363</v>
      </c>
      <c r="C13" s="16" t="n">
        <v>0</v>
      </c>
    </row>
    <row r="14" customFormat="false" ht="17.15" hidden="false" customHeight="false" outlineLevel="0" collapsed="false">
      <c r="A14" s="15" t="s">
        <v>364</v>
      </c>
      <c r="B14" s="15" t="s">
        <v>365</v>
      </c>
      <c r="C14" s="16" t="n">
        <v>153</v>
      </c>
    </row>
    <row r="15" customFormat="false" ht="17.15" hidden="false" customHeight="false" outlineLevel="0" collapsed="false">
      <c r="A15" s="15" t="s">
        <v>364</v>
      </c>
      <c r="B15" s="15" t="s">
        <v>366</v>
      </c>
      <c r="C15" s="16" t="n">
        <v>1391</v>
      </c>
    </row>
    <row r="16" customFormat="false" ht="17.15" hidden="false" customHeight="false" outlineLevel="0" collapsed="false">
      <c r="A16" s="15" t="s">
        <v>364</v>
      </c>
      <c r="B16" s="15" t="s">
        <v>358</v>
      </c>
      <c r="C16" s="16" t="n">
        <v>1571</v>
      </c>
    </row>
    <row r="17" customFormat="false" ht="17.15" hidden="false" customHeight="false" outlineLevel="0" collapsed="false">
      <c r="A17" s="15" t="s">
        <v>364</v>
      </c>
      <c r="B17" s="15" t="s">
        <v>361</v>
      </c>
      <c r="C17" s="16" t="n">
        <v>361</v>
      </c>
    </row>
    <row r="19" customFormat="false" ht="15" hidden="false" customHeight="false" outlineLevel="0" collapsed="false">
      <c r="A19" s="4" t="s">
        <v>367</v>
      </c>
    </row>
    <row r="20" customFormat="false" ht="17.15" hidden="false" customHeight="false" outlineLevel="0" collapsed="false">
      <c r="A20" s="8" t="s">
        <v>354</v>
      </c>
      <c r="B20" s="8" t="s">
        <v>356</v>
      </c>
      <c r="C20" s="8" t="s">
        <v>197</v>
      </c>
    </row>
    <row r="21" customFormat="false" ht="17.15" hidden="false" customHeight="false" outlineLevel="0" collapsed="false">
      <c r="A21" s="15" t="s">
        <v>364</v>
      </c>
      <c r="B21" s="28" t="n">
        <f aca="false">SUMIF($A$8:$A$17,"LED등",$C$8:$C$17)</f>
        <v>3476</v>
      </c>
      <c r="C21" s="18" t="n">
        <f aca="false">B21/$B$24</f>
        <v>0.737847590745065</v>
      </c>
    </row>
    <row r="22" customFormat="false" ht="15" hidden="false" customHeight="false" outlineLevel="0" collapsed="false">
      <c r="A22" s="14" t="s">
        <v>357</v>
      </c>
      <c r="B22" s="28" t="n">
        <f aca="false">SUMIF($A$8:$A$17,"나트륨등",$C$8:$C$17)</f>
        <v>635</v>
      </c>
      <c r="C22" s="18" t="n">
        <f aca="false">B22/$B$24</f>
        <v>0.134790914880068</v>
      </c>
    </row>
    <row r="23" customFormat="false" ht="15" hidden="false" customHeight="false" outlineLevel="0" collapsed="false">
      <c r="A23" s="14" t="s">
        <v>360</v>
      </c>
      <c r="B23" s="28" t="n">
        <f aca="false">SUMIF($A$8:$A$17,"일반메탈등",$C$8:$C$17)</f>
        <v>600</v>
      </c>
      <c r="C23" s="18" t="n">
        <f aca="false">B23/$B$24</f>
        <v>0.127361494374867</v>
      </c>
    </row>
    <row r="24" customFormat="false" ht="15" hidden="false" customHeight="false" outlineLevel="0" collapsed="false">
      <c r="A24" s="4" t="s">
        <v>368</v>
      </c>
      <c r="B24" s="19" t="n">
        <f aca="false">SUM(B21:B23)</f>
        <v>4711</v>
      </c>
    </row>
    <row r="27" customFormat="false" ht="15" hidden="false" customHeight="false" outlineLevel="0" collapsed="false">
      <c r="A27" s="4" t="s">
        <v>199</v>
      </c>
    </row>
    <row r="28" customFormat="false" ht="30" hidden="false" customHeight="true" outlineLevel="0" collapsed="false">
      <c r="A28" s="21" t="s">
        <v>369</v>
      </c>
      <c r="B28" s="21"/>
      <c r="C28" s="21"/>
      <c r="D28" s="21"/>
      <c r="E28" s="21"/>
      <c r="F28" s="21"/>
      <c r="G28" s="21"/>
      <c r="H28" s="21"/>
    </row>
    <row r="29" customFormat="false" ht="30" hidden="false" customHeight="true" outlineLevel="0" collapsed="false">
      <c r="A29" s="21" t="s">
        <v>370</v>
      </c>
      <c r="B29" s="21"/>
      <c r="C29" s="21"/>
      <c r="D29" s="21"/>
      <c r="E29" s="21"/>
      <c r="F29" s="21"/>
      <c r="G29" s="21"/>
      <c r="H29" s="21"/>
    </row>
    <row r="31" customFormat="false" ht="15" hidden="false" customHeight="false" outlineLevel="0" collapsed="false">
      <c r="A31" s="4" t="s">
        <v>203</v>
      </c>
    </row>
    <row r="32" customFormat="false" ht="30" hidden="false" customHeight="true" outlineLevel="0" collapsed="false">
      <c r="A32" s="21" t="s">
        <v>371</v>
      </c>
      <c r="B32" s="21"/>
      <c r="C32" s="21"/>
      <c r="D32" s="21"/>
      <c r="E32" s="21"/>
      <c r="F32" s="21"/>
      <c r="G32" s="21"/>
      <c r="H32" s="21"/>
    </row>
    <row r="33" customFormat="false" ht="30" hidden="false" customHeight="true" outlineLevel="0" collapsed="false">
      <c r="A33" s="21" t="s">
        <v>372</v>
      </c>
      <c r="B33" s="21"/>
      <c r="C33" s="21"/>
      <c r="D33" s="21"/>
      <c r="E33" s="21"/>
      <c r="F33" s="21"/>
      <c r="G33" s="21"/>
      <c r="H33" s="21"/>
    </row>
    <row r="35" customFormat="false" ht="15" hidden="false" customHeight="false" outlineLevel="0" collapsed="false">
      <c r="A35" s="4" t="s">
        <v>207</v>
      </c>
    </row>
    <row r="36" customFormat="false" ht="30" hidden="false" customHeight="true" outlineLevel="0" collapsed="false">
      <c r="A36" s="21" t="s">
        <v>373</v>
      </c>
      <c r="B36" s="21"/>
      <c r="C36" s="21"/>
      <c r="D36" s="21"/>
      <c r="E36" s="21"/>
      <c r="F36" s="21"/>
      <c r="G36" s="21"/>
      <c r="H36" s="21"/>
    </row>
    <row r="37" customFormat="false" ht="30" hidden="false" customHeight="true" outlineLevel="0" collapsed="false">
      <c r="A37" s="21" t="s">
        <v>374</v>
      </c>
      <c r="B37" s="21"/>
      <c r="C37" s="21"/>
      <c r="D37" s="21"/>
      <c r="E37" s="21"/>
      <c r="F37" s="21"/>
      <c r="G37" s="21"/>
      <c r="H37" s="21"/>
    </row>
  </sheetData>
  <mergeCells count="10">
    <mergeCell ref="B2:H2"/>
    <mergeCell ref="B3:H3"/>
    <mergeCell ref="B4:H4"/>
    <mergeCell ref="B5:H5"/>
    <mergeCell ref="A28:H28"/>
    <mergeCell ref="A29:H29"/>
    <mergeCell ref="A32:H32"/>
    <mergeCell ref="A33:H33"/>
    <mergeCell ref="A36:H36"/>
    <mergeCell ref="A37:H37"/>
  </mergeCells>
  <hyperlinks>
    <hyperlink ref="B5" r:id="rId1" display="부산광역시 남구_가로등현황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375</v>
      </c>
    </row>
    <row r="2" customFormat="false" ht="17.15" hidden="false" customHeight="true" outlineLevel="0" collapsed="false">
      <c r="A2" s="4" t="s">
        <v>157</v>
      </c>
      <c r="B2" s="2" t="s">
        <v>376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4" t="s">
        <v>159</v>
      </c>
      <c r="B3" s="3" t="s">
        <v>377</v>
      </c>
      <c r="C3" s="3"/>
      <c r="D3" s="3"/>
      <c r="E3" s="3"/>
      <c r="F3" s="3"/>
      <c r="G3" s="3"/>
      <c r="H3" s="3"/>
    </row>
    <row r="4" customFormat="false" ht="17.15" hidden="false" customHeight="true" outlineLevel="0" collapsed="false">
      <c r="A4" s="4" t="s">
        <v>161</v>
      </c>
      <c r="B4" s="2" t="s">
        <v>378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214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337</v>
      </c>
      <c r="C6" s="13"/>
      <c r="D6" s="13"/>
      <c r="E6" s="13"/>
      <c r="F6" s="13"/>
      <c r="G6" s="13"/>
      <c r="H6" s="13"/>
    </row>
    <row r="7" customFormat="false" ht="17.15" hidden="false" customHeight="false" outlineLevel="0" collapsed="false">
      <c r="A7" s="4" t="s">
        <v>44</v>
      </c>
      <c r="B7" s="13" t="s">
        <v>379</v>
      </c>
      <c r="C7" s="13"/>
      <c r="D7" s="13"/>
      <c r="E7" s="13"/>
      <c r="F7" s="13"/>
      <c r="G7" s="13"/>
      <c r="H7" s="13"/>
    </row>
    <row r="8" customFormat="false" ht="17.15" hidden="false" customHeight="false" outlineLevel="0" collapsed="false">
      <c r="A8" s="4" t="s">
        <v>44</v>
      </c>
      <c r="B8" s="13" t="s">
        <v>216</v>
      </c>
      <c r="C8" s="13"/>
      <c r="D8" s="13"/>
      <c r="E8" s="13"/>
      <c r="F8" s="13"/>
      <c r="G8" s="13"/>
      <c r="H8" s="13"/>
    </row>
    <row r="10" customFormat="false" ht="17.15" hidden="false" customHeight="false" outlineLevel="0" collapsed="false">
      <c r="A10" s="8" t="s">
        <v>380</v>
      </c>
      <c r="B10" s="8" t="s">
        <v>381</v>
      </c>
    </row>
    <row r="11" customFormat="false" ht="31.5" hidden="false" customHeight="true" outlineLevel="0" collapsed="false">
      <c r="A11" s="11" t="s">
        <v>382</v>
      </c>
      <c r="B11" s="12" t="s">
        <v>383</v>
      </c>
    </row>
    <row r="12" customFormat="false" ht="31.5" hidden="false" customHeight="true" outlineLevel="0" collapsed="false">
      <c r="A12" s="11" t="s">
        <v>384</v>
      </c>
      <c r="B12" s="12" t="s">
        <v>385</v>
      </c>
    </row>
    <row r="13" customFormat="false" ht="31.5" hidden="false" customHeight="true" outlineLevel="0" collapsed="false">
      <c r="A13" s="11" t="s">
        <v>386</v>
      </c>
      <c r="B13" s="12" t="s">
        <v>387</v>
      </c>
    </row>
    <row r="14" customFormat="false" ht="31.5" hidden="false" customHeight="true" outlineLevel="0" collapsed="false">
      <c r="A14" s="11" t="s">
        <v>388</v>
      </c>
      <c r="B14" s="11" t="s">
        <v>389</v>
      </c>
    </row>
    <row r="15" customFormat="false" ht="31.5" hidden="false" customHeight="true" outlineLevel="0" collapsed="false">
      <c r="A15" s="11" t="s">
        <v>390</v>
      </c>
      <c r="B15" s="11" t="s">
        <v>391</v>
      </c>
    </row>
    <row r="16" customFormat="false" ht="31.5" hidden="false" customHeight="true" outlineLevel="0" collapsed="false">
      <c r="A16" s="11" t="s">
        <v>392</v>
      </c>
      <c r="B16" s="11" t="s">
        <v>393</v>
      </c>
    </row>
    <row r="19" customFormat="false" ht="15" hidden="false" customHeight="false" outlineLevel="0" collapsed="false">
      <c r="A19" s="4" t="s">
        <v>199</v>
      </c>
    </row>
    <row r="20" customFormat="false" ht="30" hidden="false" customHeight="true" outlineLevel="0" collapsed="false">
      <c r="A20" s="21" t="s">
        <v>394</v>
      </c>
      <c r="B20" s="21"/>
      <c r="C20" s="21"/>
      <c r="D20" s="21"/>
      <c r="E20" s="21"/>
      <c r="F20" s="21"/>
      <c r="G20" s="21"/>
      <c r="H20" s="21"/>
    </row>
    <row r="21" customFormat="false" ht="30" hidden="false" customHeight="true" outlineLevel="0" collapsed="false">
      <c r="A21" s="21" t="s">
        <v>395</v>
      </c>
      <c r="B21" s="21"/>
      <c r="C21" s="21"/>
      <c r="D21" s="21"/>
      <c r="E21" s="21"/>
      <c r="F21" s="21"/>
      <c r="G21" s="21"/>
      <c r="H21" s="21"/>
    </row>
    <row r="23" customFormat="false" ht="15" hidden="false" customHeight="false" outlineLevel="0" collapsed="false">
      <c r="A23" s="4" t="s">
        <v>203</v>
      </c>
    </row>
    <row r="24" customFormat="false" ht="30" hidden="false" customHeight="true" outlineLevel="0" collapsed="false">
      <c r="A24" s="21" t="s">
        <v>396</v>
      </c>
      <c r="B24" s="21"/>
      <c r="C24" s="21"/>
      <c r="D24" s="21"/>
      <c r="E24" s="21"/>
      <c r="F24" s="21"/>
      <c r="G24" s="21"/>
      <c r="H24" s="21"/>
    </row>
    <row r="25" customFormat="false" ht="30" hidden="false" customHeight="true" outlineLevel="0" collapsed="false">
      <c r="A25" s="21" t="s">
        <v>397</v>
      </c>
      <c r="B25" s="21"/>
      <c r="C25" s="21"/>
      <c r="D25" s="21"/>
      <c r="E25" s="21"/>
      <c r="F25" s="21"/>
      <c r="G25" s="21"/>
      <c r="H25" s="21"/>
    </row>
    <row r="27" customFormat="false" ht="15" hidden="false" customHeight="false" outlineLevel="0" collapsed="false">
      <c r="A27" s="4" t="s">
        <v>207</v>
      </c>
    </row>
    <row r="28" customFormat="false" ht="30" hidden="false" customHeight="true" outlineLevel="0" collapsed="false">
      <c r="A28" s="21" t="s">
        <v>398</v>
      </c>
      <c r="B28" s="21"/>
      <c r="C28" s="21"/>
      <c r="D28" s="21"/>
      <c r="E28" s="21"/>
      <c r="F28" s="21"/>
      <c r="G28" s="21"/>
      <c r="H28" s="21"/>
    </row>
    <row r="29" customFormat="false" ht="30" hidden="false" customHeight="true" outlineLevel="0" collapsed="false">
      <c r="A29" s="21" t="s">
        <v>399</v>
      </c>
      <c r="B29" s="21"/>
      <c r="C29" s="21"/>
      <c r="D29" s="21"/>
      <c r="E29" s="21"/>
      <c r="F29" s="21"/>
      <c r="G29" s="21"/>
      <c r="H29" s="21"/>
    </row>
  </sheetData>
  <mergeCells count="13">
    <mergeCell ref="B2:H2"/>
    <mergeCell ref="B3:H3"/>
    <mergeCell ref="B4:H4"/>
    <mergeCell ref="B5:H5"/>
    <mergeCell ref="B6:H6"/>
    <mergeCell ref="B7:H7"/>
    <mergeCell ref="B8:H8"/>
    <mergeCell ref="A20:H20"/>
    <mergeCell ref="A21:H21"/>
    <mergeCell ref="A24:H24"/>
    <mergeCell ref="A25:H25"/>
    <mergeCell ref="A28:H28"/>
    <mergeCell ref="A29:H29"/>
  </mergeCells>
  <hyperlinks>
    <hyperlink ref="B5" r:id="rId1" display="부산광역시 누리집, 신재생에너지 비전과 전략"/>
    <hyperlink ref="B6" r:id="rId2" display="부산광역시 누리집, 전략2 에너지 효율화·수요관리"/>
    <hyperlink ref="B7" r:id="rId3" display="부산광역시 누리집, 에너지진단 및 시설개선사업"/>
    <hyperlink ref="B8" r:id="rId4" display="트위그뉴스, 2025.7.29. 부산 신재생 에너지 확대 박차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400</v>
      </c>
    </row>
    <row r="2" customFormat="false" ht="17.15" hidden="false" customHeight="true" outlineLevel="0" collapsed="false">
      <c r="A2" s="4" t="s">
        <v>157</v>
      </c>
      <c r="B2" s="2" t="s">
        <v>401</v>
      </c>
      <c r="C2" s="2"/>
      <c r="D2" s="2"/>
      <c r="E2" s="2"/>
      <c r="F2" s="2"/>
      <c r="G2" s="2"/>
      <c r="H2" s="2"/>
    </row>
    <row r="3" customFormat="false" ht="17.15" hidden="false" customHeight="true" outlineLevel="0" collapsed="false">
      <c r="A3" s="4" t="s">
        <v>159</v>
      </c>
      <c r="B3" s="2" t="s">
        <v>402</v>
      </c>
      <c r="C3" s="2"/>
      <c r="D3" s="2"/>
      <c r="E3" s="2"/>
      <c r="F3" s="2"/>
      <c r="G3" s="2"/>
      <c r="H3" s="2"/>
    </row>
    <row r="4" customFormat="false" ht="17.15" hidden="false" customHeight="true" outlineLevel="0" collapsed="false">
      <c r="A4" s="4" t="s">
        <v>161</v>
      </c>
      <c r="B4" s="2" t="s">
        <v>403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214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404</v>
      </c>
      <c r="C6" s="13"/>
      <c r="D6" s="13"/>
      <c r="E6" s="13"/>
      <c r="F6" s="13"/>
      <c r="G6" s="13"/>
      <c r="H6" s="13"/>
    </row>
    <row r="8" customFormat="false" ht="17.15" hidden="false" customHeight="false" outlineLevel="0" collapsed="false">
      <c r="A8" s="8" t="s">
        <v>217</v>
      </c>
      <c r="B8" s="8" t="s">
        <v>405</v>
      </c>
    </row>
    <row r="9" customFormat="false" ht="17.15" hidden="false" customHeight="false" outlineLevel="0" collapsed="false">
      <c r="A9" s="15" t="s">
        <v>406</v>
      </c>
      <c r="B9" s="16" t="n">
        <v>50</v>
      </c>
    </row>
    <row r="10" customFormat="false" ht="17.15" hidden="false" customHeight="false" outlineLevel="0" collapsed="false">
      <c r="A10" s="15" t="s">
        <v>221</v>
      </c>
      <c r="B10" s="16" t="n">
        <v>130</v>
      </c>
    </row>
    <row r="11" customFormat="false" ht="17.15" hidden="false" customHeight="false" outlineLevel="0" collapsed="false">
      <c r="A11" s="15" t="s">
        <v>222</v>
      </c>
      <c r="B11" s="16" t="n">
        <v>300</v>
      </c>
    </row>
    <row r="12" customFormat="false" ht="15" hidden="false" customHeight="false" outlineLevel="0" collapsed="false">
      <c r="A12" s="4"/>
    </row>
    <row r="14" customFormat="false" ht="17.15" hidden="false" customHeight="false" outlineLevel="0" collapsed="false">
      <c r="A14" s="8" t="s">
        <v>407</v>
      </c>
      <c r="B14" s="8" t="s">
        <v>381</v>
      </c>
    </row>
    <row r="15" customFormat="false" ht="31.5" hidden="false" customHeight="true" outlineLevel="0" collapsed="false">
      <c r="A15" s="11" t="s">
        <v>408</v>
      </c>
      <c r="B15" s="11" t="s">
        <v>409</v>
      </c>
    </row>
    <row r="16" customFormat="false" ht="31.5" hidden="false" customHeight="true" outlineLevel="0" collapsed="false">
      <c r="A16" s="11" t="s">
        <v>410</v>
      </c>
      <c r="B16" s="11" t="s">
        <v>411</v>
      </c>
    </row>
    <row r="17" customFormat="false" ht="31.5" hidden="false" customHeight="true" outlineLevel="0" collapsed="false">
      <c r="A17" s="11" t="s">
        <v>412</v>
      </c>
      <c r="B17" s="11" t="s">
        <v>413</v>
      </c>
    </row>
    <row r="18" customFormat="false" ht="31.5" hidden="false" customHeight="true" outlineLevel="0" collapsed="false">
      <c r="A18" s="11" t="s">
        <v>414</v>
      </c>
      <c r="B18" s="11" t="s">
        <v>415</v>
      </c>
    </row>
    <row r="19" customFormat="false" ht="31.5" hidden="false" customHeight="true" outlineLevel="0" collapsed="false">
      <c r="A19" s="11" t="s">
        <v>416</v>
      </c>
      <c r="B19" s="12" t="s">
        <v>417</v>
      </c>
    </row>
    <row r="20" customFormat="false" ht="31.5" hidden="false" customHeight="true" outlineLevel="0" collapsed="false">
      <c r="A20" s="11" t="s">
        <v>418</v>
      </c>
      <c r="B20" s="11" t="s">
        <v>419</v>
      </c>
    </row>
    <row r="23" customFormat="false" ht="15" hidden="false" customHeight="false" outlineLevel="0" collapsed="false">
      <c r="A23" s="4" t="s">
        <v>199</v>
      </c>
    </row>
    <row r="24" customFormat="false" ht="30" hidden="false" customHeight="true" outlineLevel="0" collapsed="false">
      <c r="A24" s="21" t="s">
        <v>420</v>
      </c>
      <c r="B24" s="21"/>
      <c r="C24" s="21"/>
      <c r="D24" s="21"/>
      <c r="E24" s="21"/>
      <c r="F24" s="21"/>
      <c r="G24" s="21"/>
      <c r="H24" s="21"/>
    </row>
    <row r="25" customFormat="false" ht="30" hidden="false" customHeight="true" outlineLevel="0" collapsed="false">
      <c r="A25" s="21" t="s">
        <v>421</v>
      </c>
      <c r="B25" s="21"/>
      <c r="C25" s="21"/>
      <c r="D25" s="21"/>
      <c r="E25" s="21"/>
      <c r="F25" s="21"/>
      <c r="G25" s="21"/>
      <c r="H25" s="21"/>
    </row>
    <row r="27" customFormat="false" ht="15" hidden="false" customHeight="false" outlineLevel="0" collapsed="false">
      <c r="A27" s="4" t="s">
        <v>203</v>
      </c>
    </row>
    <row r="28" customFormat="false" ht="30" hidden="false" customHeight="true" outlineLevel="0" collapsed="false">
      <c r="A28" s="21" t="s">
        <v>422</v>
      </c>
      <c r="B28" s="21"/>
      <c r="C28" s="21"/>
      <c r="D28" s="21"/>
      <c r="E28" s="21"/>
      <c r="F28" s="21"/>
      <c r="G28" s="21"/>
      <c r="H28" s="21"/>
    </row>
    <row r="29" customFormat="false" ht="30" hidden="false" customHeight="true" outlineLevel="0" collapsed="false">
      <c r="A29" s="21" t="s">
        <v>423</v>
      </c>
      <c r="B29" s="21"/>
      <c r="C29" s="21"/>
      <c r="D29" s="21"/>
      <c r="E29" s="21"/>
      <c r="F29" s="21"/>
      <c r="G29" s="21"/>
      <c r="H29" s="21"/>
    </row>
    <row r="31" customFormat="false" ht="15" hidden="false" customHeight="false" outlineLevel="0" collapsed="false">
      <c r="A31" s="4" t="s">
        <v>207</v>
      </c>
    </row>
    <row r="32" customFormat="false" ht="30" hidden="false" customHeight="true" outlineLevel="0" collapsed="false">
      <c r="A32" s="21" t="s">
        <v>424</v>
      </c>
      <c r="B32" s="21"/>
      <c r="C32" s="21"/>
      <c r="D32" s="21"/>
      <c r="E32" s="21"/>
      <c r="F32" s="21"/>
      <c r="G32" s="21"/>
      <c r="H32" s="21"/>
    </row>
    <row r="33" customFormat="false" ht="30" hidden="false" customHeight="true" outlineLevel="0" collapsed="false">
      <c r="A33" s="21" t="s">
        <v>425</v>
      </c>
      <c r="B33" s="21"/>
      <c r="C33" s="21"/>
      <c r="D33" s="21"/>
      <c r="E33" s="21"/>
      <c r="F33" s="21"/>
      <c r="G33" s="21"/>
      <c r="H33" s="21"/>
    </row>
  </sheetData>
  <mergeCells count="11">
    <mergeCell ref="B2:H2"/>
    <mergeCell ref="B3:H3"/>
    <mergeCell ref="B4:H4"/>
    <mergeCell ref="B5:H5"/>
    <mergeCell ref="B6:H6"/>
    <mergeCell ref="A24:H24"/>
    <mergeCell ref="A25:H25"/>
    <mergeCell ref="A28:H28"/>
    <mergeCell ref="A29:H29"/>
    <mergeCell ref="A32:H32"/>
    <mergeCell ref="A33:H33"/>
  </mergeCells>
  <hyperlinks>
    <hyperlink ref="B5" r:id="rId1" display="부산광역시 누리집, 신재생에너지 비전과 전략"/>
    <hyperlink ref="B6" r:id="rId2" display="부산광역시 누리집, 클린에너지기술 혁신기업 육성사업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426</v>
      </c>
    </row>
    <row r="2" customFormat="false" ht="17.15" hidden="false" customHeight="true" outlineLevel="0" collapsed="false">
      <c r="A2" s="4" t="s">
        <v>157</v>
      </c>
      <c r="B2" s="3" t="s">
        <v>427</v>
      </c>
      <c r="C2" s="3"/>
      <c r="D2" s="3"/>
      <c r="E2" s="3"/>
      <c r="F2" s="3"/>
      <c r="G2" s="3"/>
      <c r="H2" s="3"/>
    </row>
    <row r="3" customFormat="false" ht="17.15" hidden="false" customHeight="true" outlineLevel="0" collapsed="false">
      <c r="A3" s="4" t="s">
        <v>159</v>
      </c>
      <c r="B3" s="2" t="s">
        <v>428</v>
      </c>
      <c r="C3" s="2"/>
      <c r="D3" s="2"/>
      <c r="E3" s="2"/>
      <c r="F3" s="2"/>
      <c r="G3" s="2"/>
      <c r="H3" s="2"/>
    </row>
    <row r="4" customFormat="false" ht="17.15" hidden="false" customHeight="true" outlineLevel="0" collapsed="false">
      <c r="A4" s="4" t="s">
        <v>161</v>
      </c>
      <c r="B4" s="2" t="s">
        <v>429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430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431</v>
      </c>
      <c r="C6" s="13"/>
      <c r="D6" s="13"/>
      <c r="E6" s="13"/>
      <c r="F6" s="13"/>
      <c r="G6" s="13"/>
      <c r="H6" s="13"/>
    </row>
    <row r="8" customFormat="false" ht="31.5" hidden="false" customHeight="true" outlineLevel="0" collapsed="false">
      <c r="A8" s="3" t="s">
        <v>432</v>
      </c>
      <c r="B8" s="3"/>
      <c r="C8" s="3"/>
      <c r="D8" s="3"/>
      <c r="E8" s="3"/>
      <c r="F8" s="3"/>
      <c r="G8" s="3"/>
      <c r="H8" s="3"/>
    </row>
    <row r="9" customFormat="false" ht="31.5" hidden="false" customHeight="true" outlineLevel="0" collapsed="false">
      <c r="A9" s="2" t="s">
        <v>433</v>
      </c>
      <c r="B9" s="2"/>
      <c r="C9" s="2"/>
      <c r="D9" s="2"/>
      <c r="E9" s="2"/>
      <c r="F9" s="2"/>
      <c r="G9" s="2"/>
      <c r="H9" s="2"/>
    </row>
    <row r="10" customFormat="false" ht="31.5" hidden="false" customHeight="true" outlineLevel="0" collapsed="false">
      <c r="A10" s="2" t="s">
        <v>434</v>
      </c>
      <c r="B10" s="2"/>
      <c r="C10" s="2"/>
      <c r="D10" s="2"/>
      <c r="E10" s="2"/>
      <c r="F10" s="2"/>
      <c r="G10" s="2"/>
      <c r="H10" s="2"/>
    </row>
    <row r="12" customFormat="false" ht="15" hidden="false" customHeight="false" outlineLevel="0" collapsed="false">
      <c r="A12" s="4" t="s">
        <v>199</v>
      </c>
    </row>
    <row r="13" customFormat="false" ht="30" hidden="false" customHeight="true" outlineLevel="0" collapsed="false">
      <c r="A13" s="21" t="s">
        <v>435</v>
      </c>
      <c r="B13" s="21"/>
      <c r="C13" s="21"/>
      <c r="D13" s="21"/>
      <c r="E13" s="21"/>
      <c r="F13" s="21"/>
      <c r="G13" s="21"/>
      <c r="H13" s="21"/>
    </row>
    <row r="15" customFormat="false" ht="15" hidden="false" customHeight="false" outlineLevel="0" collapsed="false">
      <c r="A15" s="4" t="s">
        <v>203</v>
      </c>
    </row>
    <row r="16" customFormat="false" ht="30" hidden="false" customHeight="true" outlineLevel="0" collapsed="false">
      <c r="A16" s="21" t="s">
        <v>436</v>
      </c>
      <c r="B16" s="21"/>
      <c r="C16" s="21"/>
      <c r="D16" s="21"/>
      <c r="E16" s="21"/>
      <c r="F16" s="21"/>
      <c r="G16" s="21"/>
      <c r="H16" s="21"/>
    </row>
    <row r="17" customFormat="false" ht="30" hidden="false" customHeight="true" outlineLevel="0" collapsed="false">
      <c r="A17" s="21" t="s">
        <v>437</v>
      </c>
      <c r="B17" s="21"/>
      <c r="C17" s="21"/>
      <c r="D17" s="21"/>
      <c r="E17" s="21"/>
      <c r="F17" s="21"/>
      <c r="G17" s="21"/>
      <c r="H17" s="21"/>
    </row>
    <row r="19" customFormat="false" ht="15" hidden="false" customHeight="false" outlineLevel="0" collapsed="false">
      <c r="A19" s="4" t="s">
        <v>207</v>
      </c>
    </row>
    <row r="20" customFormat="false" ht="30" hidden="false" customHeight="true" outlineLevel="0" collapsed="false">
      <c r="A20" s="21" t="s">
        <v>438</v>
      </c>
      <c r="B20" s="21"/>
      <c r="C20" s="21"/>
      <c r="D20" s="21"/>
      <c r="E20" s="21"/>
      <c r="F20" s="21"/>
      <c r="G20" s="21"/>
      <c r="H20" s="21"/>
    </row>
    <row r="21" customFormat="false" ht="30" hidden="false" customHeight="true" outlineLevel="0" collapsed="false">
      <c r="A21" s="21" t="s">
        <v>439</v>
      </c>
      <c r="B21" s="21"/>
      <c r="C21" s="21"/>
      <c r="D21" s="21"/>
      <c r="E21" s="21"/>
      <c r="F21" s="21"/>
      <c r="G21" s="21"/>
      <c r="H21" s="21"/>
    </row>
  </sheetData>
  <mergeCells count="13">
    <mergeCell ref="B2:H2"/>
    <mergeCell ref="B3:H3"/>
    <mergeCell ref="B4:H4"/>
    <mergeCell ref="B5:H5"/>
    <mergeCell ref="B6:H6"/>
    <mergeCell ref="A8:H8"/>
    <mergeCell ref="A9:H9"/>
    <mergeCell ref="A10:H10"/>
    <mergeCell ref="A13:H13"/>
    <mergeCell ref="A16:H16"/>
    <mergeCell ref="A17:H17"/>
    <mergeCell ref="A20:H20"/>
    <mergeCell ref="A21:H21"/>
  </mergeCells>
  <hyperlinks>
    <hyperlink ref="B5" r:id="rId1" display="트위그뉴스, 2023.7.20. 부산 소부장 특화단지 지정"/>
    <hyperlink ref="B6" r:id="rId2" display="부산광역시 2025년 전력반도체 산업 육성 세부사업별 지출내역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440</v>
      </c>
    </row>
    <row r="2" customFormat="false" ht="17.15" hidden="false" customHeight="true" outlineLevel="0" collapsed="false">
      <c r="A2" s="4" t="s">
        <v>157</v>
      </c>
      <c r="B2" s="2" t="s">
        <v>441</v>
      </c>
      <c r="C2" s="2"/>
      <c r="D2" s="2"/>
      <c r="E2" s="2"/>
      <c r="F2" s="2"/>
      <c r="G2" s="2"/>
      <c r="H2" s="2"/>
    </row>
    <row r="3" customFormat="false" ht="17.15" hidden="false" customHeight="true" outlineLevel="0" collapsed="false">
      <c r="A3" s="4" t="s">
        <v>159</v>
      </c>
      <c r="B3" s="2" t="s">
        <v>442</v>
      </c>
      <c r="C3" s="2"/>
      <c r="D3" s="2"/>
      <c r="E3" s="2"/>
      <c r="F3" s="2"/>
      <c r="G3" s="2"/>
      <c r="H3" s="2"/>
    </row>
    <row r="4" customFormat="false" ht="32.8" hidden="false" customHeight="true" outlineLevel="0" collapsed="false">
      <c r="A4" s="4" t="s">
        <v>161</v>
      </c>
      <c r="B4" s="2" t="s">
        <v>443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30" t="s">
        <v>444</v>
      </c>
      <c r="C5" s="30"/>
      <c r="D5" s="30"/>
      <c r="E5" s="30"/>
      <c r="F5" s="30"/>
      <c r="G5" s="30"/>
      <c r="H5" s="30"/>
    </row>
    <row r="6" customFormat="false" ht="17.15" hidden="false" customHeight="false" outlineLevel="0" collapsed="false">
      <c r="A6" s="4" t="s">
        <v>44</v>
      </c>
      <c r="B6" s="13" t="s">
        <v>445</v>
      </c>
      <c r="C6" s="13"/>
      <c r="D6" s="13"/>
      <c r="E6" s="13"/>
      <c r="F6" s="13"/>
      <c r="G6" s="13"/>
      <c r="H6" s="13"/>
    </row>
    <row r="7" customFormat="false" ht="17.15" hidden="false" customHeight="false" outlineLevel="0" collapsed="false">
      <c r="A7" s="4" t="s">
        <v>44</v>
      </c>
      <c r="B7" s="13" t="s">
        <v>303</v>
      </c>
      <c r="C7" s="13"/>
      <c r="D7" s="13"/>
      <c r="E7" s="13"/>
      <c r="F7" s="13"/>
      <c r="G7" s="13"/>
      <c r="H7" s="13"/>
    </row>
    <row r="9" customFormat="false" ht="17.15" hidden="false" customHeight="false" outlineLevel="0" collapsed="false">
      <c r="A9" s="8" t="s">
        <v>446</v>
      </c>
      <c r="B9" s="8" t="s">
        <v>447</v>
      </c>
      <c r="C9" s="8" t="s">
        <v>448</v>
      </c>
    </row>
    <row r="10" customFormat="false" ht="15" hidden="false" customHeight="false" outlineLevel="0" collapsed="false">
      <c r="A10" s="15" t="s">
        <v>449</v>
      </c>
      <c r="B10" s="16" t="n">
        <v>48</v>
      </c>
      <c r="C10" s="16" t="n">
        <v>157</v>
      </c>
    </row>
    <row r="11" customFormat="false" ht="15" hidden="false" customHeight="false" outlineLevel="0" collapsed="false">
      <c r="A11" s="15" t="s">
        <v>450</v>
      </c>
      <c r="B11" s="16" t="n">
        <v>100</v>
      </c>
      <c r="C11" s="16" t="n">
        <v>595</v>
      </c>
    </row>
    <row r="12" customFormat="false" ht="15" hidden="false" customHeight="false" outlineLevel="0" collapsed="false">
      <c r="A12" s="15" t="s">
        <v>451</v>
      </c>
      <c r="B12" s="16" t="n">
        <v>59</v>
      </c>
      <c r="C12" s="16" t="n">
        <v>288</v>
      </c>
    </row>
    <row r="13" customFormat="false" ht="15" hidden="false" customHeight="false" outlineLevel="0" collapsed="false">
      <c r="A13" s="15" t="s">
        <v>452</v>
      </c>
      <c r="B13" s="16" t="n">
        <v>73</v>
      </c>
      <c r="C13" s="16" t="n">
        <v>269</v>
      </c>
    </row>
    <row r="14" customFormat="false" ht="15" hidden="false" customHeight="false" outlineLevel="0" collapsed="false">
      <c r="A14" s="15" t="s">
        <v>453</v>
      </c>
      <c r="B14" s="16" t="n">
        <v>87</v>
      </c>
      <c r="C14" s="16" t="n">
        <v>382</v>
      </c>
    </row>
    <row r="15" customFormat="false" ht="15" hidden="false" customHeight="false" outlineLevel="0" collapsed="false">
      <c r="A15" s="15" t="s">
        <v>454</v>
      </c>
      <c r="B15" s="16" t="n">
        <v>110</v>
      </c>
      <c r="C15" s="16" t="n">
        <v>684</v>
      </c>
    </row>
    <row r="16" customFormat="false" ht="15" hidden="false" customHeight="false" outlineLevel="0" collapsed="false">
      <c r="A16" s="15" t="s">
        <v>455</v>
      </c>
      <c r="B16" s="16" t="n">
        <v>86</v>
      </c>
      <c r="C16" s="16" t="n">
        <v>488</v>
      </c>
    </row>
    <row r="17" customFormat="false" ht="15" hidden="false" customHeight="false" outlineLevel="0" collapsed="false">
      <c r="A17" s="15" t="s">
        <v>456</v>
      </c>
      <c r="B17" s="16" t="n">
        <v>83</v>
      </c>
      <c r="C17" s="16" t="n">
        <v>607</v>
      </c>
    </row>
    <row r="18" customFormat="false" ht="15" hidden="false" customHeight="false" outlineLevel="0" collapsed="false">
      <c r="A18" s="15" t="s">
        <v>457</v>
      </c>
      <c r="B18" s="16" t="n">
        <v>213</v>
      </c>
      <c r="C18" s="16" t="n">
        <v>2529</v>
      </c>
    </row>
    <row r="19" customFormat="false" ht="15" hidden="false" customHeight="false" outlineLevel="0" collapsed="false">
      <c r="A19" s="15" t="s">
        <v>458</v>
      </c>
      <c r="B19" s="16" t="n">
        <v>434</v>
      </c>
      <c r="C19" s="16" t="n">
        <v>5734</v>
      </c>
    </row>
    <row r="20" customFormat="false" ht="15" hidden="false" customHeight="false" outlineLevel="0" collapsed="false">
      <c r="A20" s="15" t="s">
        <v>459</v>
      </c>
      <c r="B20" s="16" t="n">
        <v>590</v>
      </c>
      <c r="C20" s="16" t="n">
        <v>7837</v>
      </c>
    </row>
    <row r="21" customFormat="false" ht="15" hidden="false" customHeight="false" outlineLevel="0" collapsed="false">
      <c r="A21" s="15" t="s">
        <v>460</v>
      </c>
      <c r="B21" s="16" t="n">
        <v>735</v>
      </c>
      <c r="C21" s="16" t="n">
        <v>9624</v>
      </c>
    </row>
    <row r="22" customFormat="false" ht="15" hidden="false" customHeight="false" outlineLevel="0" collapsed="false">
      <c r="A22" s="4" t="s">
        <v>198</v>
      </c>
      <c r="B22" s="25" t="n">
        <f aca="false">SUM(B10:B21)</f>
        <v>2618</v>
      </c>
      <c r="C22" s="25" t="n">
        <f aca="false">SUM(C10:C21)</f>
        <v>29194</v>
      </c>
    </row>
    <row r="23" customFormat="false" ht="17.15" hidden="false" customHeight="false" outlineLevel="0" collapsed="false">
      <c r="A23" s="6" t="s">
        <v>461</v>
      </c>
      <c r="C23" s="31" t="n">
        <f aca="false">C22/B22</f>
        <v>11.1512605042017</v>
      </c>
    </row>
    <row r="25" customFormat="false" ht="17.15" hidden="false" customHeight="false" outlineLevel="0" collapsed="false">
      <c r="A25" s="4" t="s">
        <v>462</v>
      </c>
    </row>
    <row r="26" customFormat="false" ht="17.15" hidden="false" customHeight="false" outlineLevel="0" collapsed="false">
      <c r="A26" s="8" t="s">
        <v>463</v>
      </c>
      <c r="B26" s="8" t="s">
        <v>464</v>
      </c>
    </row>
    <row r="27" customFormat="false" ht="15" hidden="false" customHeight="false" outlineLevel="0" collapsed="false">
      <c r="A27" s="14" t="s">
        <v>465</v>
      </c>
      <c r="B27" s="16" t="n">
        <v>1949</v>
      </c>
    </row>
    <row r="28" customFormat="false" ht="15" hidden="false" customHeight="false" outlineLevel="0" collapsed="false">
      <c r="A28" s="14" t="s">
        <v>466</v>
      </c>
      <c r="B28" s="16" t="n">
        <v>112</v>
      </c>
    </row>
    <row r="29" customFormat="false" ht="15" hidden="false" customHeight="false" outlineLevel="0" collapsed="false">
      <c r="A29" s="14" t="s">
        <v>467</v>
      </c>
      <c r="B29" s="16" t="n">
        <v>10</v>
      </c>
    </row>
    <row r="30" customFormat="false" ht="15" hidden="false" customHeight="false" outlineLevel="0" collapsed="false">
      <c r="A30" s="14" t="s">
        <v>468</v>
      </c>
      <c r="B30" s="16" t="n">
        <v>2</v>
      </c>
    </row>
    <row r="31" customFormat="false" ht="15" hidden="false" customHeight="false" outlineLevel="0" collapsed="false">
      <c r="A31" s="4" t="s">
        <v>198</v>
      </c>
      <c r="B31" s="19" t="n">
        <f aca="false">SUM(B27:B30)</f>
        <v>2073</v>
      </c>
    </row>
    <row r="33" customFormat="false" ht="30" hidden="false" customHeight="true" outlineLevel="0" collapsed="false">
      <c r="A33" s="3" t="s">
        <v>469</v>
      </c>
      <c r="B33" s="3"/>
      <c r="C33" s="3"/>
      <c r="D33" s="3"/>
      <c r="E33" s="3"/>
      <c r="F33" s="3"/>
      <c r="G33" s="3"/>
      <c r="H33" s="3"/>
    </row>
    <row r="34" customFormat="false" ht="30" hidden="false" customHeight="true" outlineLevel="0" collapsed="false">
      <c r="A34" s="2" t="s">
        <v>470</v>
      </c>
      <c r="B34" s="2"/>
      <c r="C34" s="2"/>
      <c r="D34" s="2"/>
      <c r="E34" s="2"/>
      <c r="F34" s="2"/>
      <c r="G34" s="2"/>
      <c r="H34" s="2"/>
    </row>
    <row r="35" customFormat="false" ht="30" hidden="false" customHeight="true" outlineLevel="0" collapsed="false">
      <c r="A35" s="2" t="s">
        <v>471</v>
      </c>
      <c r="B35" s="2"/>
      <c r="C35" s="2"/>
      <c r="D35" s="2"/>
      <c r="E35" s="2"/>
      <c r="F35" s="2"/>
      <c r="G35" s="2"/>
      <c r="H35" s="2"/>
    </row>
    <row r="37" customFormat="false" ht="15" hidden="false" customHeight="false" outlineLevel="0" collapsed="false">
      <c r="A37" s="4" t="s">
        <v>199</v>
      </c>
    </row>
    <row r="38" customFormat="false" ht="30" hidden="false" customHeight="true" outlineLevel="0" collapsed="false">
      <c r="A38" s="21" t="s">
        <v>472</v>
      </c>
      <c r="B38" s="21"/>
      <c r="C38" s="21"/>
      <c r="D38" s="21"/>
      <c r="E38" s="21"/>
      <c r="F38" s="21"/>
      <c r="G38" s="21"/>
      <c r="H38" s="21"/>
    </row>
    <row r="39" customFormat="false" ht="30" hidden="false" customHeight="true" outlineLevel="0" collapsed="false">
      <c r="A39" s="23" t="s">
        <v>473</v>
      </c>
      <c r="B39" s="23"/>
      <c r="C39" s="23"/>
      <c r="D39" s="23"/>
      <c r="E39" s="23"/>
      <c r="F39" s="23"/>
      <c r="G39" s="23"/>
      <c r="H39" s="23"/>
    </row>
    <row r="41" customFormat="false" ht="15" hidden="false" customHeight="false" outlineLevel="0" collapsed="false">
      <c r="A41" s="4" t="s">
        <v>203</v>
      </c>
    </row>
    <row r="42" customFormat="false" ht="30" hidden="false" customHeight="true" outlineLevel="0" collapsed="false">
      <c r="A42" s="21" t="s">
        <v>474</v>
      </c>
      <c r="B42" s="21"/>
      <c r="C42" s="21"/>
      <c r="D42" s="21"/>
      <c r="E42" s="21"/>
      <c r="F42" s="21"/>
      <c r="G42" s="21"/>
      <c r="H42" s="21"/>
    </row>
    <row r="43" customFormat="false" ht="30" hidden="false" customHeight="true" outlineLevel="0" collapsed="false">
      <c r="A43" s="21" t="s">
        <v>475</v>
      </c>
      <c r="B43" s="21"/>
      <c r="C43" s="21"/>
      <c r="D43" s="21"/>
      <c r="E43" s="21"/>
      <c r="F43" s="21"/>
      <c r="G43" s="21"/>
      <c r="H43" s="21"/>
    </row>
    <row r="45" customFormat="false" ht="15" hidden="false" customHeight="false" outlineLevel="0" collapsed="false">
      <c r="A45" s="4" t="s">
        <v>207</v>
      </c>
    </row>
    <row r="46" customFormat="false" ht="30" hidden="false" customHeight="true" outlineLevel="0" collapsed="false">
      <c r="A46" s="21" t="s">
        <v>476</v>
      </c>
      <c r="B46" s="21"/>
      <c r="C46" s="21"/>
      <c r="D46" s="21"/>
      <c r="E46" s="21"/>
      <c r="F46" s="21"/>
      <c r="G46" s="21"/>
      <c r="H46" s="21"/>
    </row>
    <row r="47" customFormat="false" ht="30" hidden="false" customHeight="true" outlineLevel="0" collapsed="false">
      <c r="A47" s="21" t="s">
        <v>477</v>
      </c>
      <c r="B47" s="21"/>
      <c r="C47" s="21"/>
      <c r="D47" s="21"/>
      <c r="E47" s="21"/>
      <c r="F47" s="21"/>
      <c r="G47" s="21"/>
      <c r="H47" s="21"/>
    </row>
  </sheetData>
  <mergeCells count="15">
    <mergeCell ref="B2:H2"/>
    <mergeCell ref="B3:H3"/>
    <mergeCell ref="B4:H4"/>
    <mergeCell ref="B5:H5"/>
    <mergeCell ref="B6:H6"/>
    <mergeCell ref="B7:H7"/>
    <mergeCell ref="A33:H33"/>
    <mergeCell ref="A34:H34"/>
    <mergeCell ref="A35:H35"/>
    <mergeCell ref="A38:H38"/>
    <mergeCell ref="A39:H39"/>
    <mergeCell ref="A42:H42"/>
    <mergeCell ref="A43:H43"/>
    <mergeCell ref="A46:H46"/>
    <mergeCell ref="A47:H47"/>
  </mergeCells>
  <hyperlinks>
    <hyperlink ref="B5" r:id="rId1" display="(주)한국가스기술공사_서부산 수소충전소 운영 현황"/>
    <hyperlink ref="B6" r:id="rId2" display="한국교통안전공단_수소전기차 등록 현황(2024.3 기준)"/>
    <hyperlink ref="B7" r:id="rId3" display="부산광역시 누리집, 수소연료전지 안전성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478</v>
      </c>
    </row>
    <row r="2" customFormat="false" ht="17.15" hidden="false" customHeight="true" outlineLevel="0" collapsed="false">
      <c r="A2" s="4" t="s">
        <v>157</v>
      </c>
      <c r="B2" s="3" t="s">
        <v>479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159</v>
      </c>
      <c r="B3" s="3" t="s">
        <v>377</v>
      </c>
      <c r="C3" s="3"/>
      <c r="D3" s="3"/>
      <c r="E3" s="3"/>
      <c r="F3" s="3"/>
      <c r="G3" s="3"/>
      <c r="H3" s="3"/>
    </row>
    <row r="4" customFormat="false" ht="17.15" hidden="false" customHeight="true" outlineLevel="0" collapsed="false">
      <c r="A4" s="4" t="s">
        <v>161</v>
      </c>
      <c r="B4" s="2" t="s">
        <v>480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481</v>
      </c>
      <c r="C5" s="13"/>
      <c r="D5" s="13"/>
      <c r="E5" s="13"/>
      <c r="F5" s="13"/>
      <c r="G5" s="13"/>
      <c r="H5" s="13"/>
    </row>
    <row r="7" customFormat="false" ht="31.5" hidden="false" customHeight="true" outlineLevel="0" collapsed="false">
      <c r="A7" s="3" t="s">
        <v>482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2" t="s">
        <v>483</v>
      </c>
      <c r="B8" s="2"/>
      <c r="C8" s="2"/>
      <c r="D8" s="2"/>
      <c r="E8" s="2"/>
      <c r="F8" s="2"/>
      <c r="G8" s="2"/>
      <c r="H8" s="2"/>
    </row>
    <row r="9" customFormat="false" ht="31.5" hidden="false" customHeight="true" outlineLevel="0" collapsed="false">
      <c r="A9" s="2" t="s">
        <v>484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4" t="s">
        <v>199</v>
      </c>
    </row>
    <row r="12" customFormat="false" ht="30" hidden="false" customHeight="true" outlineLevel="0" collapsed="false">
      <c r="A12" s="21" t="s">
        <v>485</v>
      </c>
      <c r="B12" s="21"/>
      <c r="C12" s="21"/>
      <c r="D12" s="21"/>
      <c r="E12" s="21"/>
      <c r="F12" s="21"/>
      <c r="G12" s="21"/>
      <c r="H12" s="21"/>
    </row>
    <row r="14" customFormat="false" ht="15" hidden="false" customHeight="false" outlineLevel="0" collapsed="false">
      <c r="A14" s="4" t="s">
        <v>203</v>
      </c>
    </row>
    <row r="15" customFormat="false" ht="30" hidden="false" customHeight="true" outlineLevel="0" collapsed="false">
      <c r="A15" s="21" t="s">
        <v>486</v>
      </c>
      <c r="B15" s="21"/>
      <c r="C15" s="21"/>
      <c r="D15" s="21"/>
      <c r="E15" s="21"/>
      <c r="F15" s="21"/>
      <c r="G15" s="21"/>
      <c r="H15" s="21"/>
    </row>
    <row r="17" customFormat="false" ht="15" hidden="false" customHeight="false" outlineLevel="0" collapsed="false">
      <c r="A17" s="4" t="s">
        <v>207</v>
      </c>
    </row>
    <row r="18" customFormat="false" ht="30" hidden="false" customHeight="true" outlineLevel="0" collapsed="false">
      <c r="A18" s="23" t="s">
        <v>487</v>
      </c>
      <c r="B18" s="23"/>
      <c r="C18" s="23"/>
      <c r="D18" s="23"/>
      <c r="E18" s="23"/>
      <c r="F18" s="23"/>
      <c r="G18" s="23"/>
      <c r="H18" s="23"/>
    </row>
  </sheetData>
  <mergeCells count="10">
    <mergeCell ref="B2:H2"/>
    <mergeCell ref="B3:H3"/>
    <mergeCell ref="B4:H4"/>
    <mergeCell ref="B5:H5"/>
    <mergeCell ref="A7:H7"/>
    <mergeCell ref="A8:H8"/>
    <mergeCell ref="A9:H9"/>
    <mergeCell ref="A12:H12"/>
    <mergeCell ref="A15:H15"/>
    <mergeCell ref="A18:H18"/>
  </mergeCells>
  <hyperlinks>
    <hyperlink ref="B5" r:id="rId1" display="머니투데이, 2025.11.5. 분산에너지 특화지역 지정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488</v>
      </c>
    </row>
    <row r="2" customFormat="false" ht="17.15" hidden="false" customHeight="true" outlineLevel="0" collapsed="false">
      <c r="A2" s="4" t="s">
        <v>157</v>
      </c>
      <c r="B2" s="3" t="s">
        <v>489</v>
      </c>
      <c r="C2" s="3"/>
      <c r="D2" s="3"/>
      <c r="E2" s="3"/>
      <c r="F2" s="3"/>
      <c r="G2" s="3"/>
      <c r="H2" s="3"/>
    </row>
    <row r="3" customFormat="false" ht="17.15" hidden="false" customHeight="true" outlineLevel="0" collapsed="false">
      <c r="A3" s="4" t="s">
        <v>159</v>
      </c>
      <c r="B3" s="2" t="s">
        <v>490</v>
      </c>
      <c r="C3" s="2"/>
      <c r="D3" s="2"/>
      <c r="E3" s="2"/>
      <c r="F3" s="2"/>
      <c r="G3" s="2"/>
      <c r="H3" s="2"/>
    </row>
    <row r="4" customFormat="false" ht="17.15" hidden="false" customHeight="true" outlineLevel="0" collapsed="false">
      <c r="A4" s="4" t="s">
        <v>161</v>
      </c>
      <c r="B4" s="2" t="s">
        <v>491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214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492</v>
      </c>
      <c r="C6" s="13"/>
      <c r="D6" s="13"/>
      <c r="E6" s="13"/>
      <c r="F6" s="13"/>
      <c r="G6" s="13"/>
      <c r="H6" s="13"/>
    </row>
    <row r="8" customFormat="false" ht="31.5" hidden="false" customHeight="true" outlineLevel="0" collapsed="false">
      <c r="A8" s="2" t="s">
        <v>493</v>
      </c>
      <c r="B8" s="2"/>
      <c r="C8" s="2"/>
      <c r="D8" s="2"/>
      <c r="E8" s="2"/>
      <c r="F8" s="2"/>
      <c r="G8" s="2"/>
      <c r="H8" s="2"/>
    </row>
    <row r="9" customFormat="false" ht="31.5" hidden="false" customHeight="true" outlineLevel="0" collapsed="false">
      <c r="A9" s="2" t="s">
        <v>494</v>
      </c>
      <c r="B9" s="2"/>
      <c r="C9" s="2"/>
      <c r="D9" s="2"/>
      <c r="E9" s="2"/>
      <c r="F9" s="2"/>
      <c r="G9" s="2"/>
      <c r="H9" s="2"/>
    </row>
    <row r="10" customFormat="false" ht="31.5" hidden="false" customHeight="true" outlineLevel="0" collapsed="false">
      <c r="A10" s="2" t="s">
        <v>495</v>
      </c>
      <c r="B10" s="2"/>
      <c r="C10" s="2"/>
      <c r="D10" s="2"/>
      <c r="E10" s="2"/>
      <c r="F10" s="2"/>
      <c r="G10" s="2"/>
      <c r="H10" s="2"/>
    </row>
    <row r="12" customFormat="false" ht="15" hidden="false" customHeight="false" outlineLevel="0" collapsed="false">
      <c r="A12" s="4" t="s">
        <v>199</v>
      </c>
    </row>
    <row r="13" customFormat="false" ht="30" hidden="false" customHeight="true" outlineLevel="0" collapsed="false">
      <c r="A13" s="21" t="s">
        <v>496</v>
      </c>
      <c r="B13" s="21"/>
      <c r="C13" s="21"/>
      <c r="D13" s="21"/>
      <c r="E13" s="21"/>
      <c r="F13" s="21"/>
      <c r="G13" s="21"/>
      <c r="H13" s="21"/>
    </row>
    <row r="15" customFormat="false" ht="15" hidden="false" customHeight="false" outlineLevel="0" collapsed="false">
      <c r="A15" s="4" t="s">
        <v>203</v>
      </c>
    </row>
    <row r="16" customFormat="false" ht="30" hidden="false" customHeight="true" outlineLevel="0" collapsed="false">
      <c r="A16" s="21" t="s">
        <v>497</v>
      </c>
      <c r="B16" s="21"/>
      <c r="C16" s="21"/>
      <c r="D16" s="21"/>
      <c r="E16" s="21"/>
      <c r="F16" s="21"/>
      <c r="G16" s="21"/>
      <c r="H16" s="21"/>
    </row>
    <row r="17" customFormat="false" ht="30" hidden="false" customHeight="true" outlineLevel="0" collapsed="false">
      <c r="A17" s="21" t="s">
        <v>498</v>
      </c>
      <c r="B17" s="21"/>
      <c r="C17" s="21"/>
      <c r="D17" s="21"/>
      <c r="E17" s="21"/>
      <c r="F17" s="21"/>
      <c r="G17" s="21"/>
      <c r="H17" s="21"/>
    </row>
    <row r="19" customFormat="false" ht="15" hidden="false" customHeight="false" outlineLevel="0" collapsed="false">
      <c r="A19" s="4" t="s">
        <v>207</v>
      </c>
    </row>
    <row r="20" customFormat="false" ht="30" hidden="false" customHeight="true" outlineLevel="0" collapsed="false">
      <c r="A20" s="21" t="s">
        <v>499</v>
      </c>
      <c r="B20" s="21"/>
      <c r="C20" s="21"/>
      <c r="D20" s="21"/>
      <c r="E20" s="21"/>
      <c r="F20" s="21"/>
      <c r="G20" s="21"/>
      <c r="H20" s="21"/>
    </row>
    <row r="21" customFormat="false" ht="30" hidden="false" customHeight="true" outlineLevel="0" collapsed="false">
      <c r="A21" s="21" t="s">
        <v>500</v>
      </c>
      <c r="B21" s="21"/>
      <c r="C21" s="21"/>
      <c r="D21" s="21"/>
      <c r="E21" s="21"/>
      <c r="F21" s="21"/>
      <c r="G21" s="21"/>
      <c r="H21" s="21"/>
    </row>
  </sheetData>
  <mergeCells count="13">
    <mergeCell ref="B2:H2"/>
    <mergeCell ref="B3:H3"/>
    <mergeCell ref="B4:H4"/>
    <mergeCell ref="B5:H5"/>
    <mergeCell ref="B6:H6"/>
    <mergeCell ref="A8:H8"/>
    <mergeCell ref="A9:H9"/>
    <mergeCell ref="A10:H10"/>
    <mergeCell ref="A13:H13"/>
    <mergeCell ref="A16:H16"/>
    <mergeCell ref="A17:H17"/>
    <mergeCell ref="A20:H20"/>
    <mergeCell ref="A21:H21"/>
  </mergeCells>
  <hyperlinks>
    <hyperlink ref="B5" r:id="rId1" display="부산광역시 누리집, 신재생에너지 비전과 전략"/>
    <hyperlink ref="B6" r:id="rId2" display="부산광역시 누리집, 전략3 시민참여형 네트워크 운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501</v>
      </c>
    </row>
    <row r="2" customFormat="false" ht="17.15" hidden="false" customHeight="true" outlineLevel="0" collapsed="false">
      <c r="A2" s="4" t="s">
        <v>157</v>
      </c>
      <c r="B2" s="3" t="s">
        <v>502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159</v>
      </c>
      <c r="B3" s="3" t="s">
        <v>503</v>
      </c>
      <c r="C3" s="3"/>
      <c r="D3" s="3"/>
      <c r="E3" s="3"/>
      <c r="F3" s="3"/>
      <c r="G3" s="3"/>
      <c r="H3" s="3"/>
    </row>
    <row r="4" customFormat="false" ht="17.15" hidden="false" customHeight="true" outlineLevel="0" collapsed="false">
      <c r="A4" s="4" t="s">
        <v>161</v>
      </c>
      <c r="B4" s="2" t="s">
        <v>504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505</v>
      </c>
      <c r="C5" s="13"/>
      <c r="D5" s="13"/>
      <c r="E5" s="13"/>
      <c r="F5" s="13"/>
      <c r="G5" s="13"/>
      <c r="H5" s="13"/>
    </row>
    <row r="7" customFormat="false" ht="17.15" hidden="false" customHeight="false" outlineLevel="0" collapsed="false">
      <c r="A7" s="8" t="s">
        <v>217</v>
      </c>
      <c r="B7" s="8" t="s">
        <v>506</v>
      </c>
    </row>
    <row r="8" customFormat="false" ht="15" hidden="false" customHeight="false" outlineLevel="0" collapsed="false">
      <c r="A8" s="14" t="s">
        <v>507</v>
      </c>
      <c r="B8" s="32" t="n">
        <v>56.8</v>
      </c>
    </row>
    <row r="9" customFormat="false" ht="15" hidden="false" customHeight="false" outlineLevel="0" collapsed="false">
      <c r="A9" s="14" t="s">
        <v>508</v>
      </c>
      <c r="B9" s="32" t="n">
        <v>24.2</v>
      </c>
    </row>
    <row r="10" customFormat="false" ht="15" hidden="false" customHeight="false" outlineLevel="0" collapsed="false">
      <c r="A10" s="4" t="s">
        <v>198</v>
      </c>
      <c r="B10" s="31" t="n">
        <f aca="false">SUM(B8:B9)</f>
        <v>81</v>
      </c>
    </row>
    <row r="22" customFormat="false" ht="15" hidden="false" customHeight="false" outlineLevel="0" collapsed="false">
      <c r="A22" s="4" t="s">
        <v>199</v>
      </c>
    </row>
    <row r="23" customFormat="false" ht="30" hidden="false" customHeight="true" outlineLevel="0" collapsed="false">
      <c r="A23" s="21" t="s">
        <v>509</v>
      </c>
      <c r="B23" s="21"/>
      <c r="C23" s="21"/>
      <c r="D23" s="21"/>
      <c r="E23" s="21"/>
      <c r="F23" s="21"/>
      <c r="G23" s="21"/>
      <c r="H23" s="21"/>
    </row>
    <row r="25" customFormat="false" ht="15" hidden="false" customHeight="false" outlineLevel="0" collapsed="false">
      <c r="A25" s="4" t="s">
        <v>203</v>
      </c>
    </row>
    <row r="26" customFormat="false" ht="30" hidden="false" customHeight="true" outlineLevel="0" collapsed="false">
      <c r="A26" s="21" t="s">
        <v>510</v>
      </c>
      <c r="B26" s="21"/>
      <c r="C26" s="21"/>
      <c r="D26" s="21"/>
      <c r="E26" s="21"/>
      <c r="F26" s="21"/>
      <c r="G26" s="21"/>
      <c r="H26" s="21"/>
    </row>
    <row r="27" customFormat="false" ht="30" hidden="false" customHeight="true" outlineLevel="0" collapsed="false">
      <c r="A27" s="21" t="s">
        <v>511</v>
      </c>
      <c r="B27" s="21"/>
      <c r="C27" s="21"/>
      <c r="D27" s="21"/>
      <c r="E27" s="21"/>
      <c r="F27" s="21"/>
      <c r="G27" s="21"/>
      <c r="H27" s="21"/>
    </row>
    <row r="29" customFormat="false" ht="15" hidden="false" customHeight="false" outlineLevel="0" collapsed="false">
      <c r="A29" s="4" t="s">
        <v>207</v>
      </c>
    </row>
    <row r="30" customFormat="false" ht="30" hidden="false" customHeight="true" outlineLevel="0" collapsed="false">
      <c r="A30" s="21" t="s">
        <v>512</v>
      </c>
      <c r="B30" s="21"/>
      <c r="C30" s="21"/>
      <c r="D30" s="21"/>
      <c r="E30" s="21"/>
      <c r="F30" s="21"/>
      <c r="G30" s="21"/>
      <c r="H30" s="21"/>
    </row>
  </sheetData>
  <mergeCells count="8">
    <mergeCell ref="B2:H2"/>
    <mergeCell ref="B3:H3"/>
    <mergeCell ref="B4:H4"/>
    <mergeCell ref="B5:H5"/>
    <mergeCell ref="A23:H23"/>
    <mergeCell ref="A26:H26"/>
    <mergeCell ref="A27:H27"/>
    <mergeCell ref="A30:H30"/>
  </mergeCells>
  <hyperlinks>
    <hyperlink ref="B5" r:id="rId1" location="page=167" display="영도구 제1차 탄소중립·녹색성장 기본계획(2025), 부록 설문보고서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513</v>
      </c>
    </row>
    <row r="2" customFormat="false" ht="17.15" hidden="false" customHeight="true" outlineLevel="0" collapsed="false">
      <c r="A2" s="4" t="s">
        <v>157</v>
      </c>
      <c r="B2" s="3" t="s">
        <v>514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159</v>
      </c>
      <c r="B3" s="3" t="s">
        <v>377</v>
      </c>
      <c r="C3" s="3"/>
      <c r="D3" s="3"/>
      <c r="E3" s="3"/>
      <c r="F3" s="3"/>
      <c r="G3" s="3"/>
      <c r="H3" s="3"/>
    </row>
    <row r="4" customFormat="false" ht="17.15" hidden="false" customHeight="true" outlineLevel="0" collapsed="false">
      <c r="A4" s="4" t="s">
        <v>161</v>
      </c>
      <c r="B4" s="2" t="s">
        <v>515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516</v>
      </c>
      <c r="C5" s="13"/>
      <c r="D5" s="13"/>
      <c r="E5" s="13"/>
      <c r="F5" s="13"/>
      <c r="G5" s="13"/>
      <c r="H5" s="13"/>
    </row>
    <row r="7" customFormat="false" ht="31.5" hidden="false" customHeight="true" outlineLevel="0" collapsed="false">
      <c r="A7" s="2" t="s">
        <v>517</v>
      </c>
      <c r="B7" s="2"/>
      <c r="C7" s="2"/>
      <c r="D7" s="2"/>
      <c r="E7" s="2"/>
      <c r="F7" s="2"/>
      <c r="G7" s="2"/>
      <c r="H7" s="2"/>
    </row>
    <row r="8" customFormat="false" ht="31.5" hidden="false" customHeight="true" outlineLevel="0" collapsed="false">
      <c r="A8" s="2" t="s">
        <v>518</v>
      </c>
      <c r="B8" s="2"/>
      <c r="C8" s="2"/>
      <c r="D8" s="2"/>
      <c r="E8" s="2"/>
      <c r="F8" s="2"/>
      <c r="G8" s="2"/>
      <c r="H8" s="2"/>
    </row>
    <row r="9" customFormat="false" ht="31.5" hidden="false" customHeight="true" outlineLevel="0" collapsed="false">
      <c r="A9" s="2" t="s">
        <v>519</v>
      </c>
      <c r="B9" s="2"/>
      <c r="C9" s="2"/>
      <c r="D9" s="2"/>
      <c r="E9" s="2"/>
      <c r="F9" s="2"/>
      <c r="G9" s="2"/>
      <c r="H9" s="2"/>
    </row>
    <row r="10" customFormat="false" ht="31.5" hidden="false" customHeight="true" outlineLevel="0" collapsed="false">
      <c r="A10" s="2" t="s">
        <v>520</v>
      </c>
      <c r="B10" s="2"/>
      <c r="C10" s="2"/>
      <c r="D10" s="2"/>
      <c r="E10" s="2"/>
      <c r="F10" s="2"/>
      <c r="G10" s="2"/>
      <c r="H10" s="2"/>
    </row>
    <row r="12" customFormat="false" ht="15" hidden="false" customHeight="false" outlineLevel="0" collapsed="false">
      <c r="A12" s="4" t="s">
        <v>199</v>
      </c>
    </row>
    <row r="13" customFormat="false" ht="30" hidden="false" customHeight="true" outlineLevel="0" collapsed="false">
      <c r="A13" s="21" t="s">
        <v>521</v>
      </c>
      <c r="B13" s="21"/>
      <c r="C13" s="21"/>
      <c r="D13" s="21"/>
      <c r="E13" s="21"/>
      <c r="F13" s="21"/>
      <c r="G13" s="21"/>
      <c r="H13" s="21"/>
    </row>
    <row r="15" customFormat="false" ht="15" hidden="false" customHeight="false" outlineLevel="0" collapsed="false">
      <c r="A15" s="4" t="s">
        <v>203</v>
      </c>
    </row>
    <row r="16" customFormat="false" ht="30" hidden="false" customHeight="true" outlineLevel="0" collapsed="false">
      <c r="A16" s="21" t="s">
        <v>522</v>
      </c>
      <c r="B16" s="21"/>
      <c r="C16" s="21"/>
      <c r="D16" s="21"/>
      <c r="E16" s="21"/>
      <c r="F16" s="21"/>
      <c r="G16" s="21"/>
      <c r="H16" s="21"/>
    </row>
    <row r="18" customFormat="false" ht="15" hidden="false" customHeight="false" outlineLevel="0" collapsed="false">
      <c r="A18" s="4" t="s">
        <v>207</v>
      </c>
    </row>
    <row r="19" customFormat="false" ht="30" hidden="false" customHeight="true" outlineLevel="0" collapsed="false">
      <c r="A19" s="21" t="s">
        <v>523</v>
      </c>
      <c r="B19" s="21"/>
      <c r="C19" s="21"/>
      <c r="D19" s="21"/>
      <c r="E19" s="21"/>
      <c r="F19" s="21"/>
      <c r="G19" s="21"/>
      <c r="H19" s="21"/>
    </row>
    <row r="20" customFormat="false" ht="30" hidden="false" customHeight="true" outlineLevel="0" collapsed="false">
      <c r="A20" s="21" t="s">
        <v>524</v>
      </c>
      <c r="B20" s="21"/>
      <c r="C20" s="21"/>
      <c r="D20" s="21"/>
      <c r="E20" s="21"/>
      <c r="F20" s="21"/>
      <c r="G20" s="21"/>
      <c r="H20" s="21"/>
    </row>
  </sheetData>
  <mergeCells count="12">
    <mergeCell ref="B2:H2"/>
    <mergeCell ref="B3:H3"/>
    <mergeCell ref="B4:H4"/>
    <mergeCell ref="B5:H5"/>
    <mergeCell ref="A7:H7"/>
    <mergeCell ref="A8:H8"/>
    <mergeCell ref="A9:H9"/>
    <mergeCell ref="A10:H10"/>
    <mergeCell ref="A13:H13"/>
    <mergeCell ref="A16:H16"/>
    <mergeCell ref="A19:H19"/>
    <mergeCell ref="A20:H20"/>
  </mergeCells>
  <hyperlinks>
    <hyperlink ref="B5" r:id="rId1" display="부산광역시 주민참여형 에너지전환 지원 조례(조례 제7469호, 2024.12.25 공포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8" min="5" style="0" width="12"/>
  </cols>
  <sheetData>
    <row r="1" customFormat="false" ht="21.6" hidden="false" customHeight="false" outlineLevel="0" collapsed="false">
      <c r="A1" s="1" t="s">
        <v>525</v>
      </c>
    </row>
    <row r="2" customFormat="false" ht="17.15" hidden="false" customHeight="true" outlineLevel="0" collapsed="false">
      <c r="A2" s="4" t="s">
        <v>157</v>
      </c>
      <c r="B2" s="2" t="s">
        <v>526</v>
      </c>
      <c r="C2" s="2"/>
      <c r="D2" s="2"/>
      <c r="E2" s="2"/>
      <c r="F2" s="2"/>
      <c r="G2" s="2"/>
      <c r="H2" s="2"/>
    </row>
    <row r="3" customFormat="false" ht="17.15" hidden="false" customHeight="true" outlineLevel="0" collapsed="false">
      <c r="A3" s="4" t="s">
        <v>159</v>
      </c>
      <c r="B3" s="2" t="s">
        <v>527</v>
      </c>
      <c r="C3" s="2"/>
      <c r="D3" s="2"/>
      <c r="E3" s="2"/>
      <c r="F3" s="2"/>
      <c r="G3" s="2"/>
      <c r="H3" s="2"/>
    </row>
    <row r="4" customFormat="false" ht="17.15" hidden="false" customHeight="true" outlineLevel="0" collapsed="false">
      <c r="A4" s="4" t="s">
        <v>161</v>
      </c>
      <c r="B4" s="2" t="s">
        <v>528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529</v>
      </c>
      <c r="C5" s="13"/>
      <c r="D5" s="13"/>
      <c r="E5" s="13"/>
      <c r="F5" s="13"/>
      <c r="G5" s="13"/>
      <c r="H5" s="13"/>
    </row>
    <row r="6" customFormat="false" ht="17.15" hidden="false" customHeight="false" outlineLevel="0" collapsed="false">
      <c r="A6" s="4" t="s">
        <v>44</v>
      </c>
      <c r="B6" s="13" t="s">
        <v>530</v>
      </c>
      <c r="C6" s="13"/>
      <c r="D6" s="13"/>
      <c r="E6" s="13"/>
      <c r="F6" s="13"/>
      <c r="G6" s="13"/>
      <c r="H6" s="13"/>
    </row>
    <row r="7" customFormat="false" ht="17.15" hidden="false" customHeight="false" outlineLevel="0" collapsed="false">
      <c r="A7" s="4" t="s">
        <v>44</v>
      </c>
      <c r="B7" s="13" t="s">
        <v>531</v>
      </c>
      <c r="C7" s="13"/>
      <c r="D7" s="13"/>
      <c r="E7" s="13"/>
      <c r="F7" s="13"/>
      <c r="G7" s="13"/>
      <c r="H7" s="13"/>
    </row>
    <row r="8" customFormat="false" ht="17.15" hidden="false" customHeight="false" outlineLevel="0" collapsed="false">
      <c r="A8" s="4" t="s">
        <v>44</v>
      </c>
      <c r="B8" s="13" t="s">
        <v>492</v>
      </c>
      <c r="C8" s="13"/>
      <c r="D8" s="13"/>
      <c r="E8" s="13"/>
      <c r="F8" s="13"/>
      <c r="G8" s="13"/>
      <c r="H8" s="13"/>
    </row>
    <row r="10" customFormat="false" ht="17.15" hidden="false" customHeight="false" outlineLevel="0" collapsed="false">
      <c r="A10" s="8" t="s">
        <v>532</v>
      </c>
      <c r="B10" s="8" t="s">
        <v>381</v>
      </c>
    </row>
    <row r="11" customFormat="false" ht="31.5" hidden="false" customHeight="true" outlineLevel="0" collapsed="false">
      <c r="A11" s="11" t="s">
        <v>533</v>
      </c>
      <c r="B11" s="12" t="s">
        <v>534</v>
      </c>
    </row>
    <row r="12" customFormat="false" ht="31.5" hidden="false" customHeight="true" outlineLevel="0" collapsed="false">
      <c r="A12" s="11" t="s">
        <v>535</v>
      </c>
      <c r="B12" s="11" t="s">
        <v>536</v>
      </c>
    </row>
    <row r="13" customFormat="false" ht="31.5" hidden="false" customHeight="true" outlineLevel="0" collapsed="false">
      <c r="A13" s="11" t="s">
        <v>537</v>
      </c>
      <c r="B13" s="12" t="s">
        <v>538</v>
      </c>
    </row>
    <row r="14" customFormat="false" ht="31.5" hidden="false" customHeight="true" outlineLevel="0" collapsed="false">
      <c r="A14" s="11" t="s">
        <v>539</v>
      </c>
      <c r="B14" s="11" t="s">
        <v>540</v>
      </c>
    </row>
    <row r="15" customFormat="false" ht="31.5" hidden="false" customHeight="true" outlineLevel="0" collapsed="false">
      <c r="A15" s="11" t="s">
        <v>541</v>
      </c>
      <c r="B15" s="12" t="s">
        <v>542</v>
      </c>
    </row>
    <row r="18" customFormat="false" ht="15" hidden="false" customHeight="false" outlineLevel="0" collapsed="false">
      <c r="A18" s="4" t="s">
        <v>199</v>
      </c>
    </row>
    <row r="19" customFormat="false" ht="30" hidden="false" customHeight="true" outlineLevel="0" collapsed="false">
      <c r="A19" s="21" t="s">
        <v>543</v>
      </c>
      <c r="B19" s="21"/>
      <c r="C19" s="21"/>
      <c r="D19" s="21"/>
      <c r="E19" s="21"/>
      <c r="F19" s="21"/>
      <c r="G19" s="21"/>
      <c r="H19" s="21"/>
    </row>
    <row r="20" customFormat="false" ht="30" hidden="false" customHeight="true" outlineLevel="0" collapsed="false">
      <c r="A20" s="21" t="s">
        <v>544</v>
      </c>
      <c r="B20" s="21"/>
      <c r="C20" s="21"/>
      <c r="D20" s="21"/>
      <c r="E20" s="21"/>
      <c r="F20" s="21"/>
      <c r="G20" s="21"/>
      <c r="H20" s="21"/>
    </row>
    <row r="22" customFormat="false" ht="15" hidden="false" customHeight="false" outlineLevel="0" collapsed="false">
      <c r="A22" s="4" t="s">
        <v>203</v>
      </c>
    </row>
    <row r="23" customFormat="false" ht="30" hidden="false" customHeight="true" outlineLevel="0" collapsed="false">
      <c r="A23" s="21" t="s">
        <v>545</v>
      </c>
      <c r="B23" s="21"/>
      <c r="C23" s="21"/>
      <c r="D23" s="21"/>
      <c r="E23" s="21"/>
      <c r="F23" s="21"/>
      <c r="G23" s="21"/>
      <c r="H23" s="21"/>
    </row>
    <row r="24" customFormat="false" ht="30" hidden="false" customHeight="true" outlineLevel="0" collapsed="false">
      <c r="A24" s="21" t="s">
        <v>546</v>
      </c>
      <c r="B24" s="21"/>
      <c r="C24" s="21"/>
      <c r="D24" s="21"/>
      <c r="E24" s="21"/>
      <c r="F24" s="21"/>
      <c r="G24" s="21"/>
      <c r="H24" s="21"/>
    </row>
    <row r="26" customFormat="false" ht="15" hidden="false" customHeight="false" outlineLevel="0" collapsed="false">
      <c r="A26" s="4" t="s">
        <v>207</v>
      </c>
    </row>
    <row r="27" customFormat="false" ht="30" hidden="false" customHeight="true" outlineLevel="0" collapsed="false">
      <c r="A27" s="21" t="s">
        <v>547</v>
      </c>
      <c r="B27" s="21"/>
      <c r="C27" s="21"/>
      <c r="D27" s="21"/>
      <c r="E27" s="21"/>
      <c r="F27" s="21"/>
      <c r="G27" s="21"/>
      <c r="H27" s="21"/>
    </row>
    <row r="28" customFormat="false" ht="30" hidden="false" customHeight="true" outlineLevel="0" collapsed="false">
      <c r="A28" s="21" t="s">
        <v>548</v>
      </c>
      <c r="B28" s="21"/>
      <c r="C28" s="21"/>
      <c r="D28" s="21"/>
      <c r="E28" s="21"/>
      <c r="F28" s="21"/>
      <c r="G28" s="21"/>
      <c r="H28" s="21"/>
    </row>
  </sheetData>
  <mergeCells count="13">
    <mergeCell ref="B2:H2"/>
    <mergeCell ref="B3:H3"/>
    <mergeCell ref="B4:H4"/>
    <mergeCell ref="B5:H5"/>
    <mergeCell ref="B6:H6"/>
    <mergeCell ref="B7:H7"/>
    <mergeCell ref="B8:H8"/>
    <mergeCell ref="A19:H19"/>
    <mergeCell ref="A20:H20"/>
    <mergeCell ref="A23:H23"/>
    <mergeCell ref="A24:H24"/>
    <mergeCell ref="A27:H27"/>
    <mergeCell ref="A28:H28"/>
  </mergeCells>
  <hyperlinks>
    <hyperlink ref="B5" r:id="rId1" display="부산광역시 누리집, 전략1 신재생에너지 보급확대"/>
    <hyperlink ref="B6" r:id="rId2" display="부산광역시 누리집, 미니태양광 발전설비 보급사업"/>
    <hyperlink ref="B7" r:id="rId3" display="부산광역시 누리집, 클린에너지 시민 절약 실천사업"/>
    <hyperlink ref="B8" r:id="rId4" display="부산광역시 누리집, 전략3 시민참여형 네트워크 운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4"/>
    <col collapsed="false" customWidth="true" hidden="false" outlineLevel="0" max="8" min="8" style="0" width="12"/>
  </cols>
  <sheetData>
    <row r="1" customFormat="false" ht="21.6" hidden="false" customHeight="false" outlineLevel="0" collapsed="false">
      <c r="A1" s="1" t="s">
        <v>549</v>
      </c>
    </row>
    <row r="2" customFormat="false" ht="17.15" hidden="false" customHeight="true" outlineLevel="0" collapsed="false">
      <c r="A2" s="4" t="s">
        <v>157</v>
      </c>
      <c r="B2" s="2" t="s">
        <v>550</v>
      </c>
      <c r="C2" s="2"/>
      <c r="D2" s="2"/>
      <c r="E2" s="2"/>
      <c r="F2" s="2"/>
      <c r="G2" s="2"/>
      <c r="H2" s="2"/>
    </row>
    <row r="3" customFormat="false" ht="17.15" hidden="false" customHeight="true" outlineLevel="0" collapsed="false">
      <c r="A3" s="4" t="s">
        <v>159</v>
      </c>
      <c r="B3" s="2" t="s">
        <v>551</v>
      </c>
      <c r="C3" s="2"/>
      <c r="D3" s="2"/>
      <c r="E3" s="2"/>
      <c r="F3" s="2"/>
      <c r="G3" s="2"/>
      <c r="H3" s="2"/>
    </row>
    <row r="4" customFormat="false" ht="32.8" hidden="false" customHeight="true" outlineLevel="0" collapsed="false">
      <c r="A4" s="4" t="s">
        <v>161</v>
      </c>
      <c r="B4" s="2" t="s">
        <v>552</v>
      </c>
      <c r="C4" s="2"/>
      <c r="D4" s="2"/>
      <c r="E4" s="2"/>
      <c r="F4" s="2"/>
      <c r="G4" s="2"/>
      <c r="H4" s="2"/>
    </row>
    <row r="5" customFormat="false" ht="17.15" hidden="false" customHeight="false" outlineLevel="0" collapsed="false">
      <c r="A5" s="4" t="s">
        <v>44</v>
      </c>
      <c r="B5" s="13" t="s">
        <v>214</v>
      </c>
      <c r="C5" s="13"/>
      <c r="D5" s="13"/>
      <c r="E5" s="13"/>
      <c r="F5" s="13"/>
      <c r="G5" s="13"/>
      <c r="H5" s="13"/>
    </row>
    <row r="7" customFormat="false" ht="17.15" hidden="false" customHeight="false" outlineLevel="0" collapsed="false">
      <c r="A7" s="8" t="s">
        <v>553</v>
      </c>
      <c r="B7" s="8" t="s">
        <v>554</v>
      </c>
      <c r="C7" s="8" t="s">
        <v>555</v>
      </c>
      <c r="D7" s="8" t="s">
        <v>556</v>
      </c>
      <c r="E7" s="8" t="s">
        <v>198</v>
      </c>
      <c r="F7" s="8" t="s">
        <v>557</v>
      </c>
    </row>
    <row r="8" customFormat="false" ht="17.15" hidden="false" customHeight="false" outlineLevel="0" collapsed="false">
      <c r="A8" s="14" t="s">
        <v>558</v>
      </c>
      <c r="B8" s="16" t="n">
        <v>564</v>
      </c>
      <c r="C8" s="16" t="n">
        <v>446</v>
      </c>
      <c r="D8" s="16" t="n">
        <v>5702</v>
      </c>
      <c r="E8" s="28" t="n">
        <f aca="false">SUM(B8:D8)</f>
        <v>6712</v>
      </c>
      <c r="F8" s="18" t="n">
        <f aca="false">D8/E8</f>
        <v>0.849523241954708</v>
      </c>
    </row>
    <row r="9" customFormat="false" ht="17.15" hidden="false" customHeight="false" outlineLevel="0" collapsed="false">
      <c r="A9" s="14" t="s">
        <v>559</v>
      </c>
      <c r="B9" s="16" t="n">
        <v>7658</v>
      </c>
      <c r="C9" s="16" t="n">
        <v>4054</v>
      </c>
      <c r="D9" s="16" t="n">
        <v>33112</v>
      </c>
      <c r="E9" s="28" t="n">
        <f aca="false">SUM(B9:D9)</f>
        <v>44824</v>
      </c>
      <c r="F9" s="18" t="n">
        <f aca="false">D9/E9</f>
        <v>0.738711404604676</v>
      </c>
    </row>
    <row r="10" customFormat="false" ht="17.15" hidden="false" customHeight="false" outlineLevel="0" collapsed="false">
      <c r="A10" s="14" t="s">
        <v>560</v>
      </c>
      <c r="B10" s="16" t="n">
        <v>27568</v>
      </c>
      <c r="C10" s="16" t="n">
        <v>16533</v>
      </c>
      <c r="D10" s="16" t="n">
        <v>84834</v>
      </c>
      <c r="E10" s="28" t="n">
        <f aca="false">SUM(B10:D10)</f>
        <v>128935</v>
      </c>
      <c r="F10" s="18" t="n">
        <f aca="false">D10/E10</f>
        <v>0.657959436925583</v>
      </c>
    </row>
    <row r="28" customFormat="false" ht="15" hidden="false" customHeight="false" outlineLevel="0" collapsed="false">
      <c r="A28" s="4" t="s">
        <v>199</v>
      </c>
    </row>
    <row r="29" customFormat="false" ht="30" hidden="false" customHeight="true" outlineLevel="0" collapsed="false">
      <c r="A29" s="21" t="s">
        <v>561</v>
      </c>
      <c r="B29" s="21"/>
      <c r="C29" s="21"/>
      <c r="D29" s="21"/>
      <c r="E29" s="21"/>
      <c r="F29" s="21"/>
      <c r="G29" s="21"/>
      <c r="H29" s="21"/>
    </row>
    <row r="31" customFormat="false" ht="15" hidden="false" customHeight="false" outlineLevel="0" collapsed="false">
      <c r="A31" s="4" t="s">
        <v>203</v>
      </c>
    </row>
    <row r="32" customFormat="false" ht="30" hidden="false" customHeight="true" outlineLevel="0" collapsed="false">
      <c r="A32" s="21" t="s">
        <v>562</v>
      </c>
      <c r="B32" s="21"/>
      <c r="C32" s="21"/>
      <c r="D32" s="21"/>
      <c r="E32" s="21"/>
      <c r="F32" s="21"/>
      <c r="G32" s="21"/>
      <c r="H32" s="21"/>
    </row>
    <row r="33" customFormat="false" ht="30" hidden="false" customHeight="true" outlineLevel="0" collapsed="false">
      <c r="A33" s="21" t="s">
        <v>563</v>
      </c>
      <c r="B33" s="21"/>
      <c r="C33" s="21"/>
      <c r="D33" s="21"/>
      <c r="E33" s="21"/>
      <c r="F33" s="21"/>
      <c r="G33" s="21"/>
      <c r="H33" s="21"/>
    </row>
    <row r="35" customFormat="false" ht="15" hidden="false" customHeight="false" outlineLevel="0" collapsed="false">
      <c r="A35" s="4" t="s">
        <v>207</v>
      </c>
    </row>
    <row r="36" customFormat="false" ht="30" hidden="false" customHeight="true" outlineLevel="0" collapsed="false">
      <c r="A36" s="21" t="s">
        <v>564</v>
      </c>
      <c r="B36" s="21"/>
      <c r="C36" s="21"/>
      <c r="D36" s="21"/>
      <c r="E36" s="21"/>
      <c r="F36" s="21"/>
      <c r="G36" s="21"/>
      <c r="H36" s="21"/>
    </row>
    <row r="37" customFormat="false" ht="30" hidden="false" customHeight="true" outlineLevel="0" collapsed="false">
      <c r="A37" s="21" t="s">
        <v>565</v>
      </c>
      <c r="B37" s="21"/>
      <c r="C37" s="21"/>
      <c r="D37" s="21"/>
      <c r="E37" s="21"/>
      <c r="F37" s="21"/>
      <c r="G37" s="21"/>
      <c r="H37" s="21"/>
    </row>
  </sheetData>
  <mergeCells count="9">
    <mergeCell ref="B2:H2"/>
    <mergeCell ref="B3:H3"/>
    <mergeCell ref="B4:H4"/>
    <mergeCell ref="B5:H5"/>
    <mergeCell ref="A29:H29"/>
    <mergeCell ref="A32:H32"/>
    <mergeCell ref="A33:H33"/>
    <mergeCell ref="A36:H36"/>
    <mergeCell ref="A37:H37"/>
  </mergeCells>
  <hyperlinks>
    <hyperlink ref="B5" r:id="rId1" display="부산광역시 누리집, 신재생에너지 비전과 전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70"/>
  </cols>
  <sheetData>
    <row r="1" customFormat="false" ht="21.6" hidden="false" customHeight="false" outlineLevel="0" collapsed="false">
      <c r="A1" s="33" t="s">
        <v>566</v>
      </c>
    </row>
    <row r="3" customFormat="false" ht="17.15" hidden="false" customHeight="false" outlineLevel="0" collapsed="false">
      <c r="A3" s="8" t="s">
        <v>567</v>
      </c>
      <c r="B3" s="8" t="s">
        <v>568</v>
      </c>
      <c r="C3" s="8" t="s">
        <v>569</v>
      </c>
    </row>
    <row r="4" customFormat="false" ht="17.15" hidden="false" customHeight="false" outlineLevel="0" collapsed="false">
      <c r="A4" s="15" t="s">
        <v>570</v>
      </c>
      <c r="B4" s="14" t="s">
        <v>571</v>
      </c>
      <c r="C4" s="34" t="s">
        <v>572</v>
      </c>
    </row>
    <row r="5" customFormat="false" ht="17.15" hidden="false" customHeight="false" outlineLevel="0" collapsed="false">
      <c r="A5" s="15" t="s">
        <v>573</v>
      </c>
      <c r="B5" s="14" t="s">
        <v>574</v>
      </c>
      <c r="C5" s="34" t="s">
        <v>575</v>
      </c>
    </row>
    <row r="6" customFormat="false" ht="17.15" hidden="false" customHeight="false" outlineLevel="0" collapsed="false">
      <c r="A6" s="15" t="s">
        <v>576</v>
      </c>
      <c r="B6" s="14" t="s">
        <v>577</v>
      </c>
      <c r="C6" s="34" t="s">
        <v>578</v>
      </c>
    </row>
    <row r="7" customFormat="false" ht="17.15" hidden="false" customHeight="false" outlineLevel="0" collapsed="false">
      <c r="A7" s="15" t="s">
        <v>579</v>
      </c>
      <c r="B7" s="14" t="s">
        <v>580</v>
      </c>
      <c r="C7" s="34" t="s">
        <v>581</v>
      </c>
    </row>
    <row r="8" customFormat="false" ht="17.15" hidden="false" customHeight="false" outlineLevel="0" collapsed="false">
      <c r="A8" s="15" t="s">
        <v>582</v>
      </c>
      <c r="B8" s="14" t="s">
        <v>583</v>
      </c>
      <c r="C8" s="34" t="s">
        <v>584</v>
      </c>
    </row>
    <row r="9" customFormat="false" ht="17.15" hidden="false" customHeight="false" outlineLevel="0" collapsed="false">
      <c r="A9" s="15" t="s">
        <v>585</v>
      </c>
      <c r="B9" s="14" t="s">
        <v>586</v>
      </c>
      <c r="C9" s="34" t="s">
        <v>587</v>
      </c>
    </row>
    <row r="10" customFormat="false" ht="17.15" hidden="false" customHeight="false" outlineLevel="0" collapsed="false">
      <c r="A10" s="15" t="s">
        <v>588</v>
      </c>
      <c r="B10" s="15" t="s">
        <v>589</v>
      </c>
      <c r="C10" s="34" t="s">
        <v>590</v>
      </c>
    </row>
    <row r="11" customFormat="false" ht="17.15" hidden="false" customHeight="false" outlineLevel="0" collapsed="false">
      <c r="A11" s="15" t="s">
        <v>591</v>
      </c>
      <c r="B11" s="14" t="s">
        <v>592</v>
      </c>
      <c r="C11" s="34" t="s">
        <v>593</v>
      </c>
    </row>
    <row r="12" customFormat="false" ht="17.15" hidden="false" customHeight="false" outlineLevel="0" collapsed="false">
      <c r="A12" s="15" t="s">
        <v>594</v>
      </c>
      <c r="B12" s="14" t="s">
        <v>595</v>
      </c>
      <c r="C12" s="34" t="s">
        <v>596</v>
      </c>
    </row>
    <row r="13" customFormat="false" ht="17.15" hidden="false" customHeight="false" outlineLevel="0" collapsed="false">
      <c r="A13" s="15" t="s">
        <v>597</v>
      </c>
      <c r="B13" s="14" t="s">
        <v>598</v>
      </c>
      <c r="C13" s="34" t="s">
        <v>599</v>
      </c>
    </row>
    <row r="14" customFormat="false" ht="17.15" hidden="false" customHeight="false" outlineLevel="0" collapsed="false">
      <c r="A14" s="15" t="s">
        <v>600</v>
      </c>
      <c r="B14" s="14" t="s">
        <v>601</v>
      </c>
      <c r="C14" s="34" t="s">
        <v>602</v>
      </c>
    </row>
    <row r="15" customFormat="false" ht="17.15" hidden="false" customHeight="false" outlineLevel="0" collapsed="false">
      <c r="A15" s="15" t="s">
        <v>603</v>
      </c>
      <c r="B15" s="14" t="s">
        <v>604</v>
      </c>
      <c r="C15" s="34" t="s">
        <v>605</v>
      </c>
    </row>
    <row r="16" customFormat="false" ht="17.15" hidden="false" customHeight="false" outlineLevel="0" collapsed="false">
      <c r="A16" s="15" t="s">
        <v>606</v>
      </c>
      <c r="B16" s="14" t="s">
        <v>607</v>
      </c>
      <c r="C16" s="34" t="s">
        <v>608</v>
      </c>
    </row>
    <row r="17" customFormat="false" ht="17.15" hidden="false" customHeight="false" outlineLevel="0" collapsed="false">
      <c r="A17" s="15" t="s">
        <v>609</v>
      </c>
      <c r="B17" s="14" t="s">
        <v>610</v>
      </c>
      <c r="C17" s="34" t="s">
        <v>611</v>
      </c>
    </row>
    <row r="18" customFormat="false" ht="17.15" hidden="false" customHeight="false" outlineLevel="0" collapsed="false">
      <c r="A18" s="15" t="s">
        <v>612</v>
      </c>
      <c r="B18" s="14" t="s">
        <v>613</v>
      </c>
      <c r="C18" s="34" t="s">
        <v>614</v>
      </c>
    </row>
    <row r="19" customFormat="false" ht="17.15" hidden="false" customHeight="false" outlineLevel="0" collapsed="false">
      <c r="A19" s="15" t="s">
        <v>615</v>
      </c>
      <c r="B19" s="14" t="s">
        <v>616</v>
      </c>
      <c r="C19" s="34" t="s">
        <v>617</v>
      </c>
    </row>
    <row r="20" customFormat="false" ht="17.15" hidden="false" customHeight="false" outlineLevel="0" collapsed="false">
      <c r="A20" s="15" t="s">
        <v>618</v>
      </c>
      <c r="B20" s="14" t="s">
        <v>619</v>
      </c>
      <c r="C20" s="34" t="s">
        <v>620</v>
      </c>
    </row>
    <row r="21" customFormat="false" ht="17.15" hidden="false" customHeight="false" outlineLevel="0" collapsed="false">
      <c r="A21" s="15" t="s">
        <v>621</v>
      </c>
      <c r="B21" s="14" t="s">
        <v>622</v>
      </c>
      <c r="C21" s="34" t="s">
        <v>623</v>
      </c>
    </row>
    <row r="22" customFormat="false" ht="17.15" hidden="false" customHeight="false" outlineLevel="0" collapsed="false">
      <c r="A22" s="15" t="s">
        <v>624</v>
      </c>
      <c r="B22" s="14" t="s">
        <v>625</v>
      </c>
      <c r="C22" s="34" t="s">
        <v>626</v>
      </c>
    </row>
    <row r="23" customFormat="false" ht="17.15" hidden="false" customHeight="false" outlineLevel="0" collapsed="false">
      <c r="A23" s="15" t="s">
        <v>627</v>
      </c>
      <c r="B23" s="14" t="s">
        <v>628</v>
      </c>
      <c r="C23" s="34" t="s">
        <v>629</v>
      </c>
    </row>
    <row r="24" customFormat="false" ht="17.15" hidden="false" customHeight="false" outlineLevel="0" collapsed="false">
      <c r="A24" s="15" t="s">
        <v>630</v>
      </c>
      <c r="B24" s="14" t="s">
        <v>631</v>
      </c>
      <c r="C24" s="34" t="s">
        <v>632</v>
      </c>
    </row>
    <row r="25" customFormat="false" ht="17.15" hidden="false" customHeight="false" outlineLevel="0" collapsed="false">
      <c r="A25" s="15" t="s">
        <v>633</v>
      </c>
      <c r="B25" s="14" t="s">
        <v>634</v>
      </c>
      <c r="C25" s="34" t="s">
        <v>635</v>
      </c>
    </row>
    <row r="26" customFormat="false" ht="17.15" hidden="false" customHeight="false" outlineLevel="0" collapsed="false">
      <c r="A26" s="15" t="s">
        <v>636</v>
      </c>
      <c r="B26" s="14" t="s">
        <v>637</v>
      </c>
      <c r="C26" s="34" t="s">
        <v>638</v>
      </c>
    </row>
    <row r="27" customFormat="false" ht="17.15" hidden="false" customHeight="false" outlineLevel="0" collapsed="false">
      <c r="A27" s="15" t="s">
        <v>639</v>
      </c>
      <c r="B27" s="14" t="s">
        <v>640</v>
      </c>
      <c r="C27" s="34" t="s">
        <v>641</v>
      </c>
    </row>
    <row r="28" customFormat="false" ht="17.15" hidden="false" customHeight="false" outlineLevel="0" collapsed="false">
      <c r="A28" s="15" t="s">
        <v>642</v>
      </c>
      <c r="B28" s="14" t="s">
        <v>643</v>
      </c>
      <c r="C28" s="34" t="s">
        <v>644</v>
      </c>
    </row>
  </sheetData>
  <hyperlinks>
    <hyperlink ref="C4" r:id="rId1" display="https://www.data.go.kr/data/3075983/fileData.do"/>
    <hyperlink ref="C5" r:id="rId2" display="https://www.data.go.kr/data/15095380/fileData.do"/>
    <hyperlink ref="C6" r:id="rId3" display="https://www.data.go.kr/data/15030079/fileData.do"/>
    <hyperlink ref="C7" r:id="rId4" display="https://www.data.go.kr/data/15119478/fileData.do"/>
    <hyperlink ref="C8" r:id="rId5" display="https://www.data.go.kr/data/3067482/fileData.do"/>
    <hyperlink ref="C9" r:id="rId6" display="https://www.data.go.kr/data/15161300/fileData.do"/>
    <hyperlink ref="C10" r:id="rId7" display="https://www.data.go.kr/data/15139929/fileData.do"/>
    <hyperlink ref="C11" r:id="rId8" display="https://www.data.go.kr/data/15127777/fileData.do"/>
    <hyperlink ref="C12" r:id="rId9" display="https://www.busan.go.kr/depart/ecnmcleanenergy02"/>
    <hyperlink ref="C13" r:id="rId10" display="https://www.busan.go.kr/depart/ecnmcleanenergy0302"/>
    <hyperlink ref="C14" r:id="rId11" display="https://www.busan.go.kr/depart/ecnmcleanenergy0303"/>
    <hyperlink ref="C15" r:id="rId12" display="https://www.busan.go.kr/depart/ecnmcleanenergy0305"/>
    <hyperlink ref="C16" r:id="rId13" display="https://www.busan.go.kr/depart/ecnmcleanenergy04"/>
    <hyperlink ref="C17" r:id="rId14" display="https://www.busan.go.kr/depart/ecnmcleanenergy0501"/>
    <hyperlink ref="C18" r:id="rId15" display="https://www.busan.go.kr/depart/ecnmcleanenergy0502"/>
    <hyperlink ref="C19" r:id="rId16" display="https://www.busan.go.kr/depart/ecnmcleanenergy0503"/>
    <hyperlink ref="C20" r:id="rId17" display="https://www.busan.go.kr/depart/ecnmcleanenergy0504"/>
    <hyperlink ref="C21" r:id="rId18" display="https://www.fnnews.com/news/202507291824223224"/>
    <hyperlink ref="C22" r:id="rId19" display="https://www.twig24.com/news/local_bs/2025/07/29/20250729500220"/>
    <hyperlink ref="C23" r:id="rId20" display="https://www.twig24.com/news/local_bs/2023/07/20/20230720500141"/>
    <hyperlink ref="C24" r:id="rId21" display="https://www.busan.go.kr/expdetail/view?curPage=230&amp;schDbiz=6260000201830118&amp;schYear=2025"/>
    <hyperlink ref="C25" r:id="rId22" display="https://www.mt.co.kr/economy/2025/11/05/2025110513243422296"/>
    <hyperlink ref="C26" r:id="rId23" display="https://www.nocutnews.co.kr/news/5571361"/>
    <hyperlink ref="C27" r:id="rId24" display="https://www.busan.go.kr/depart/ablatestll/1663057"/>
    <hyperlink ref="C28" r:id="rId25" location="page=167" display="https://www.pcccr.go.kr/storage/board/base/2025/07/03/BOARD_ATTACH_1751509825278.pdf#page=16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2026-10-27T11:50:30Z</dcterms:created>
  <dc:creator>openpyxl</dc:creator>
  <dc:description/>
  <dc:language>en-US</dc:language>
  <cp:lastModifiedBy/>
  <dcterms:modified xsi:type="dcterms:W3CDTF">2026-10-27T20:50:32Z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